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5404477\Documents\PyNNLF\experiment_result\Archive\Testing Result\"/>
    </mc:Choice>
  </mc:AlternateContent>
  <xr:revisionPtr revIDLastSave="0" documentId="13_ncr:1_{745BFF84-A32E-47BC-A511-13B3B3179755}" xr6:coauthVersionLast="47" xr6:coauthVersionMax="47" xr10:uidLastSave="{00000000-0000-0000-0000-000000000000}"/>
  <bookViews>
    <workbookView xWindow="-93" yWindow="-93" windowWidth="25786" windowHeight="13866" xr2:uid="{ACCB46ED-E8BF-41E4-9352-459843F2EC2C}"/>
  </bookViews>
  <sheets>
    <sheet name="testing_benchmark" sheetId="1" r:id="rId1"/>
    <sheet name="benchmark spec" sheetId="2" r:id="rId2"/>
    <sheet name="note, acceptable val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H155" i="1" s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H170" i="1" s="1"/>
  <c r="G171" i="1"/>
  <c r="G172" i="1"/>
  <c r="G173" i="1"/>
  <c r="G174" i="1"/>
  <c r="G175" i="1"/>
  <c r="I175" i="1" s="1"/>
  <c r="G176" i="1"/>
  <c r="G177" i="1"/>
  <c r="G178" i="1"/>
  <c r="G179" i="1"/>
  <c r="G180" i="1"/>
  <c r="G181" i="1"/>
  <c r="G182" i="1"/>
  <c r="G183" i="1"/>
  <c r="G184" i="1"/>
  <c r="G185" i="1"/>
  <c r="I185" i="1" s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I360" i="1" s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H423" i="1" s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I490" i="1" s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H529" i="1" s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H557" i="1" s="1"/>
  <c r="G558" i="1"/>
  <c r="G559" i="1"/>
  <c r="H559" i="1" s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I120" i="1" s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H201" i="1" s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H348" i="1" s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H523" i="1" s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2" i="1"/>
  <c r="I12" i="1"/>
  <c r="H40" i="1"/>
  <c r="I51" i="1"/>
  <c r="H54" i="1"/>
  <c r="I57" i="1"/>
  <c r="H72" i="1"/>
  <c r="I87" i="1"/>
  <c r="H119" i="1"/>
  <c r="I147" i="1"/>
  <c r="H163" i="1"/>
  <c r="H179" i="1"/>
  <c r="H183" i="1"/>
  <c r="I195" i="1"/>
  <c r="H202" i="1"/>
  <c r="H223" i="1"/>
  <c r="I230" i="1"/>
  <c r="H261" i="1"/>
  <c r="I267" i="1"/>
  <c r="H312" i="1"/>
  <c r="H339" i="1"/>
  <c r="H499" i="1"/>
  <c r="I499" i="1"/>
  <c r="I543" i="1"/>
  <c r="I559" i="1"/>
  <c r="H571" i="1"/>
  <c r="H579" i="1"/>
  <c r="I579" i="1"/>
  <c r="H603" i="1"/>
  <c r="I514" i="1" l="1"/>
  <c r="I482" i="1"/>
  <c r="H225" i="1"/>
  <c r="I48" i="1"/>
  <c r="I591" i="1"/>
  <c r="I287" i="1"/>
  <c r="I79" i="1"/>
  <c r="H465" i="1"/>
  <c r="H433" i="1"/>
  <c r="I447" i="1"/>
  <c r="I334" i="1"/>
  <c r="H318" i="1"/>
  <c r="H210" i="1"/>
  <c r="H107" i="1"/>
  <c r="H425" i="1"/>
  <c r="H393" i="1"/>
  <c r="H535" i="1"/>
  <c r="H527" i="1"/>
  <c r="H265" i="1"/>
  <c r="I571" i="1"/>
  <c r="H447" i="1"/>
  <c r="H248" i="1"/>
  <c r="I152" i="1"/>
  <c r="H120" i="1"/>
  <c r="I24" i="1"/>
  <c r="I414" i="1"/>
  <c r="H247" i="1"/>
  <c r="I135" i="1"/>
  <c r="H413" i="1"/>
  <c r="H599" i="1"/>
  <c r="I500" i="1"/>
  <c r="I188" i="1"/>
  <c r="H300" i="1"/>
  <c r="H292" i="1"/>
  <c r="I575" i="1"/>
  <c r="H568" i="1"/>
  <c r="H387" i="1"/>
  <c r="I355" i="1"/>
  <c r="H552" i="1"/>
  <c r="I243" i="1"/>
  <c r="H211" i="1"/>
  <c r="H131" i="1"/>
  <c r="H123" i="1"/>
  <c r="H84" i="1"/>
  <c r="I76" i="1"/>
  <c r="H60" i="1"/>
  <c r="I52" i="1"/>
  <c r="I44" i="1"/>
  <c r="H505" i="1"/>
  <c r="H528" i="1"/>
  <c r="H224" i="1"/>
  <c r="H200" i="1"/>
  <c r="H255" i="1"/>
  <c r="I192" i="1"/>
  <c r="H176" i="1"/>
  <c r="I136" i="1"/>
  <c r="I603" i="1"/>
  <c r="H543" i="1"/>
  <c r="I522" i="1"/>
  <c r="H475" i="1"/>
  <c r="H467" i="1"/>
  <c r="H356" i="1"/>
  <c r="I262" i="1"/>
  <c r="H96" i="1"/>
  <c r="I474" i="1"/>
  <c r="I435" i="1"/>
  <c r="H230" i="1"/>
  <c r="I183" i="1"/>
  <c r="H237" i="1"/>
  <c r="H182" i="1"/>
  <c r="H166" i="1"/>
  <c r="H158" i="1"/>
  <c r="H507" i="1"/>
  <c r="I418" i="1"/>
  <c r="I86" i="1"/>
  <c r="I599" i="1"/>
  <c r="H511" i="1"/>
  <c r="H259" i="1"/>
  <c r="H156" i="1"/>
  <c r="I93" i="1"/>
  <c r="H597" i="1"/>
  <c r="I504" i="1"/>
  <c r="H563" i="1"/>
  <c r="I346" i="1"/>
  <c r="I518" i="1"/>
  <c r="H345" i="1"/>
  <c r="H258" i="1"/>
  <c r="H429" i="1"/>
  <c r="H315" i="1"/>
  <c r="I554" i="1"/>
  <c r="I494" i="1"/>
  <c r="I470" i="1"/>
  <c r="H407" i="1"/>
  <c r="I28" i="1"/>
  <c r="H611" i="1"/>
  <c r="I270" i="1"/>
  <c r="H545" i="1"/>
  <c r="I523" i="1"/>
  <c r="H469" i="1"/>
  <c r="I430" i="1"/>
  <c r="H366" i="1"/>
  <c r="I288" i="1"/>
  <c r="I178" i="1"/>
  <c r="H122" i="1"/>
  <c r="I83" i="1"/>
  <c r="H331" i="1"/>
  <c r="H291" i="1"/>
  <c r="H560" i="1"/>
  <c r="I303" i="1"/>
  <c r="I114" i="1"/>
  <c r="H66" i="1"/>
  <c r="H58" i="1"/>
  <c r="I538" i="1"/>
  <c r="H530" i="1"/>
  <c r="H554" i="1"/>
  <c r="H532" i="1"/>
  <c r="I511" i="1"/>
  <c r="I475" i="1"/>
  <c r="I422" i="1"/>
  <c r="I407" i="1"/>
  <c r="H361" i="1"/>
  <c r="H25" i="1"/>
  <c r="H307" i="1"/>
  <c r="H284" i="1"/>
  <c r="H276" i="1"/>
  <c r="H239" i="1"/>
  <c r="H110" i="1"/>
  <c r="H17" i="1"/>
  <c r="I383" i="1"/>
  <c r="I291" i="1"/>
  <c r="H117" i="1"/>
  <c r="H78" i="1"/>
  <c r="H24" i="1"/>
  <c r="H47" i="1"/>
  <c r="H443" i="1"/>
  <c r="H215" i="1"/>
  <c r="I480" i="1"/>
  <c r="I449" i="1"/>
  <c r="I406" i="1"/>
  <c r="I398" i="1"/>
  <c r="I390" i="1"/>
  <c r="H382" i="1"/>
  <c r="H367" i="1"/>
  <c r="H336" i="1"/>
  <c r="H214" i="1"/>
  <c r="I191" i="1"/>
  <c r="I116" i="1"/>
  <c r="I84" i="1"/>
  <c r="I77" i="1"/>
  <c r="H39" i="1"/>
  <c r="H8" i="1"/>
  <c r="H524" i="1"/>
  <c r="I321" i="1"/>
  <c r="H434" i="1"/>
  <c r="H328" i="1"/>
  <c r="I282" i="1"/>
  <c r="H153" i="1"/>
  <c r="I146" i="1"/>
  <c r="I131" i="1"/>
  <c r="H69" i="1"/>
  <c r="H489" i="1"/>
  <c r="I109" i="1"/>
  <c r="H503" i="1"/>
  <c r="H558" i="1"/>
  <c r="H267" i="1"/>
  <c r="H601" i="1"/>
  <c r="H426" i="1"/>
  <c r="I373" i="1"/>
  <c r="I281" i="1"/>
  <c r="H266" i="1"/>
  <c r="H252" i="1"/>
  <c r="I221" i="1"/>
  <c r="I213" i="1"/>
  <c r="H197" i="1"/>
  <c r="I182" i="1"/>
  <c r="H152" i="1"/>
  <c r="H75" i="1"/>
  <c r="H6" i="1"/>
  <c r="H595" i="1"/>
  <c r="H567" i="1"/>
  <c r="H132" i="1"/>
  <c r="H544" i="1"/>
  <c r="I442" i="1"/>
  <c r="H550" i="1"/>
  <c r="H521" i="1"/>
  <c r="H417" i="1"/>
  <c r="I379" i="1"/>
  <c r="I364" i="1"/>
  <c r="H341" i="1"/>
  <c r="H303" i="1"/>
  <c r="I258" i="1"/>
  <c r="I228" i="1"/>
  <c r="H212" i="1"/>
  <c r="H204" i="1"/>
  <c r="I174" i="1"/>
  <c r="I159" i="1"/>
  <c r="I106" i="1"/>
  <c r="H74" i="1"/>
  <c r="H5" i="1"/>
  <c r="I496" i="1"/>
  <c r="H268" i="1"/>
  <c r="H587" i="1"/>
  <c r="H487" i="1"/>
  <c r="I556" i="1"/>
  <c r="H477" i="1"/>
  <c r="I431" i="1"/>
  <c r="I302" i="1"/>
  <c r="I294" i="1"/>
  <c r="H287" i="1"/>
  <c r="I279" i="1"/>
  <c r="I265" i="1"/>
  <c r="I219" i="1"/>
  <c r="H143" i="1"/>
  <c r="H20" i="1"/>
  <c r="H573" i="1"/>
  <c r="H457" i="1"/>
  <c r="I534" i="1"/>
  <c r="I527" i="1"/>
  <c r="H520" i="1"/>
  <c r="I506" i="1"/>
  <c r="H461" i="1"/>
  <c r="I446" i="1"/>
  <c r="I402" i="1"/>
  <c r="I394" i="1"/>
  <c r="H386" i="1"/>
  <c r="I378" i="1"/>
  <c r="I234" i="1"/>
  <c r="I73" i="1"/>
  <c r="I66" i="1"/>
  <c r="H35" i="1"/>
  <c r="H12" i="1"/>
  <c r="H473" i="1"/>
  <c r="H584" i="1"/>
  <c r="H332" i="1"/>
  <c r="H301" i="1"/>
  <c r="I278" i="1"/>
  <c r="I218" i="1"/>
  <c r="H187" i="1"/>
  <c r="H88" i="1"/>
  <c r="I72" i="1"/>
  <c r="I464" i="1"/>
  <c r="H419" i="1"/>
  <c r="H591" i="1"/>
  <c r="H583" i="1"/>
  <c r="H575" i="1"/>
  <c r="H569" i="1"/>
  <c r="I519" i="1"/>
  <c r="I468" i="1"/>
  <c r="I460" i="1"/>
  <c r="I452" i="1"/>
  <c r="I362" i="1"/>
  <c r="I315" i="1"/>
  <c r="H270" i="1"/>
  <c r="H256" i="1"/>
  <c r="I194" i="1"/>
  <c r="I164" i="1"/>
  <c r="H149" i="1"/>
  <c r="H103" i="1"/>
  <c r="I95" i="1"/>
  <c r="I451" i="1"/>
  <c r="I423" i="1"/>
  <c r="H369" i="1"/>
  <c r="I348" i="1"/>
  <c r="I318" i="1"/>
  <c r="I312" i="1"/>
  <c r="I251" i="1"/>
  <c r="H196" i="1"/>
  <c r="I189" i="1"/>
  <c r="I155" i="1"/>
  <c r="H128" i="1"/>
  <c r="I78" i="1"/>
  <c r="H51" i="1"/>
  <c r="H565" i="1"/>
  <c r="I484" i="1"/>
  <c r="H437" i="1"/>
  <c r="H297" i="1"/>
  <c r="I237" i="1"/>
  <c r="H65" i="1"/>
  <c r="H44" i="1"/>
  <c r="H16" i="1"/>
  <c r="I8" i="1"/>
  <c r="H491" i="1"/>
  <c r="H450" i="1"/>
  <c r="H403" i="1"/>
  <c r="H333" i="1"/>
  <c r="H243" i="1"/>
  <c r="H229" i="1"/>
  <c r="I223" i="1"/>
  <c r="H169" i="1"/>
  <c r="I154" i="1"/>
  <c r="I113" i="1"/>
  <c r="I98" i="1"/>
  <c r="H29" i="1"/>
  <c r="H566" i="1"/>
  <c r="H586" i="1"/>
  <c r="H605" i="1"/>
  <c r="H564" i="1"/>
  <c r="I558" i="1"/>
  <c r="I483" i="1"/>
  <c r="H415" i="1"/>
  <c r="H395" i="1"/>
  <c r="H381" i="1"/>
  <c r="H375" i="1"/>
  <c r="I367" i="1"/>
  <c r="H325" i="1"/>
  <c r="H282" i="1"/>
  <c r="I268" i="1"/>
  <c r="H236" i="1"/>
  <c r="H228" i="1"/>
  <c r="I215" i="1"/>
  <c r="H175" i="1"/>
  <c r="H147" i="1"/>
  <c r="H126" i="1"/>
  <c r="H112" i="1"/>
  <c r="H572" i="1"/>
  <c r="H485" i="1"/>
  <c r="H363" i="1"/>
  <c r="H536" i="1"/>
  <c r="I563" i="1"/>
  <c r="I387" i="1"/>
  <c r="I249" i="1"/>
  <c r="I201" i="1"/>
  <c r="H188" i="1"/>
  <c r="H63" i="1"/>
  <c r="H28" i="1"/>
  <c r="H31" i="1"/>
  <c r="I611" i="1"/>
  <c r="H541" i="1"/>
  <c r="H497" i="1"/>
  <c r="H470" i="1"/>
  <c r="H435" i="1"/>
  <c r="H421" i="1"/>
  <c r="H360" i="1"/>
  <c r="I338" i="1"/>
  <c r="H281" i="1"/>
  <c r="H194" i="1"/>
  <c r="I133" i="1"/>
  <c r="I125" i="1"/>
  <c r="I96" i="1"/>
  <c r="H55" i="1"/>
  <c r="H48" i="1"/>
  <c r="H21" i="1"/>
  <c r="H7" i="1"/>
  <c r="H397" i="1"/>
  <c r="H592" i="1"/>
  <c r="H548" i="1"/>
  <c r="H509" i="1"/>
  <c r="I463" i="1"/>
  <c r="H401" i="1"/>
  <c r="H294" i="1"/>
  <c r="H146" i="1"/>
  <c r="I607" i="1"/>
  <c r="H319" i="1"/>
  <c r="I107" i="1"/>
  <c r="H578" i="1"/>
  <c r="H610" i="1"/>
  <c r="H582" i="1"/>
  <c r="I552" i="1"/>
  <c r="H455" i="1"/>
  <c r="H427" i="1"/>
  <c r="I419" i="1"/>
  <c r="I344" i="1"/>
  <c r="I336" i="1"/>
  <c r="I214" i="1"/>
  <c r="I179" i="1"/>
  <c r="I110" i="1"/>
  <c r="I103" i="1"/>
  <c r="I54" i="1"/>
  <c r="I40" i="1"/>
  <c r="H27" i="1"/>
  <c r="H562" i="1"/>
  <c r="I520" i="1"/>
  <c r="H508" i="1"/>
  <c r="H495" i="1"/>
  <c r="I462" i="1"/>
  <c r="I351" i="1"/>
  <c r="H192" i="1"/>
  <c r="H116" i="1"/>
  <c r="H109" i="1"/>
  <c r="I20" i="1"/>
  <c r="I555" i="1"/>
  <c r="I438" i="1"/>
  <c r="H383" i="1"/>
  <c r="I588" i="1"/>
  <c r="I567" i="1"/>
  <c r="H501" i="1"/>
  <c r="H399" i="1"/>
  <c r="H385" i="1"/>
  <c r="H378" i="1"/>
  <c r="H372" i="1"/>
  <c r="I358" i="1"/>
  <c r="H350" i="1"/>
  <c r="H329" i="1"/>
  <c r="I292" i="1"/>
  <c r="H279" i="1"/>
  <c r="H246" i="1"/>
  <c r="H219" i="1"/>
  <c r="I102" i="1"/>
  <c r="H95" i="1"/>
  <c r="I587" i="1"/>
  <c r="I550" i="1"/>
  <c r="I212" i="1"/>
  <c r="H73" i="1"/>
  <c r="H4" i="1"/>
  <c r="H556" i="1"/>
  <c r="H531" i="1"/>
  <c r="H525" i="1"/>
  <c r="H439" i="1"/>
  <c r="H431" i="1"/>
  <c r="H391" i="1"/>
  <c r="H313" i="1"/>
  <c r="H299" i="1"/>
  <c r="I259" i="1"/>
  <c r="I252" i="1"/>
  <c r="I224" i="1"/>
  <c r="I205" i="1"/>
  <c r="H191" i="1"/>
  <c r="H164" i="1"/>
  <c r="I150" i="1"/>
  <c r="I122" i="1"/>
  <c r="H87" i="1"/>
  <c r="I60" i="1"/>
  <c r="H52" i="1"/>
  <c r="I46" i="1"/>
  <c r="H32" i="1"/>
  <c r="H607" i="1"/>
  <c r="I560" i="1"/>
  <c r="H555" i="1"/>
  <c r="H537" i="1"/>
  <c r="I363" i="1"/>
  <c r="H238" i="1"/>
  <c r="H218" i="1"/>
  <c r="H171" i="1"/>
  <c r="H136" i="1"/>
  <c r="H129" i="1"/>
  <c r="I250" i="1"/>
  <c r="I90" i="1"/>
  <c r="I47" i="1"/>
  <c r="H15" i="1"/>
  <c r="H471" i="1"/>
  <c r="H460" i="1"/>
  <c r="H442" i="1"/>
  <c r="H402" i="1"/>
  <c r="H373" i="1"/>
  <c r="I329" i="1"/>
  <c r="H304" i="1"/>
  <c r="H298" i="1"/>
  <c r="I255" i="1"/>
  <c r="I236" i="1"/>
  <c r="I204" i="1"/>
  <c r="I166" i="1"/>
  <c r="H125" i="1"/>
  <c r="H89" i="1"/>
  <c r="H33" i="1"/>
  <c r="H448" i="1"/>
  <c r="H540" i="1"/>
  <c r="H476" i="1"/>
  <c r="I395" i="1"/>
  <c r="H83" i="1"/>
  <c r="H472" i="1"/>
  <c r="H137" i="1"/>
  <c r="H115" i="1"/>
  <c r="H600" i="1"/>
  <c r="I535" i="1"/>
  <c r="H414" i="1"/>
  <c r="H482" i="1"/>
  <c r="I453" i="1"/>
  <c r="H390" i="1"/>
  <c r="H551" i="1"/>
  <c r="H539" i="1"/>
  <c r="I528" i="1"/>
  <c r="I517" i="1"/>
  <c r="I487" i="1"/>
  <c r="I481" i="1"/>
  <c r="H459" i="1"/>
  <c r="H441" i="1"/>
  <c r="H430" i="1"/>
  <c r="H389" i="1"/>
  <c r="H316" i="1"/>
  <c r="H310" i="1"/>
  <c r="H178" i="1"/>
  <c r="H160" i="1"/>
  <c r="H142" i="1"/>
  <c r="H45" i="1"/>
  <c r="I32" i="1"/>
  <c r="H13" i="1"/>
  <c r="H113" i="1"/>
  <c r="H466" i="1"/>
  <c r="H574" i="1"/>
  <c r="H516" i="1"/>
  <c r="I322" i="1"/>
  <c r="I130" i="1"/>
  <c r="I119" i="1"/>
  <c r="H76" i="1"/>
  <c r="H56" i="1"/>
  <c r="H598" i="1"/>
  <c r="H585" i="1"/>
  <c r="I532" i="1"/>
  <c r="I492" i="1"/>
  <c r="H464" i="1"/>
  <c r="H451" i="1"/>
  <c r="H446" i="1"/>
  <c r="I439" i="1"/>
  <c r="H406" i="1"/>
  <c r="I399" i="1"/>
  <c r="I382" i="1"/>
  <c r="I345" i="1"/>
  <c r="I339" i="1"/>
  <c r="H321" i="1"/>
  <c r="H159" i="1"/>
  <c r="H135" i="1"/>
  <c r="I129" i="1"/>
  <c r="I123" i="1"/>
  <c r="I82" i="1"/>
  <c r="I55" i="1"/>
  <c r="H19" i="1"/>
  <c r="I162" i="1"/>
  <c r="H355" i="1"/>
  <c r="I561" i="1"/>
  <c r="H452" i="1"/>
  <c r="H285" i="1"/>
  <c r="H124" i="1"/>
  <c r="I604" i="1"/>
  <c r="I544" i="1"/>
  <c r="I510" i="1"/>
  <c r="I434" i="1"/>
  <c r="H515" i="1"/>
  <c r="H405" i="1"/>
  <c r="H394" i="1"/>
  <c r="H370" i="1"/>
  <c r="H364" i="1"/>
  <c r="H290" i="1"/>
  <c r="H278" i="1"/>
  <c r="H195" i="1"/>
  <c r="H189" i="1"/>
  <c r="I176" i="1"/>
  <c r="I171" i="1"/>
  <c r="I158" i="1"/>
  <c r="H134" i="1"/>
  <c r="I118" i="1"/>
  <c r="H106" i="1"/>
  <c r="I94" i="1"/>
  <c r="H62" i="1"/>
  <c r="I198" i="1"/>
  <c r="H144" i="1"/>
  <c r="H613" i="1"/>
  <c r="H593" i="1"/>
  <c r="H458" i="1"/>
  <c r="I186" i="1"/>
  <c r="H606" i="1"/>
  <c r="I533" i="1"/>
  <c r="H418" i="1"/>
  <c r="I549" i="1"/>
  <c r="H111" i="1"/>
  <c r="I69" i="1"/>
  <c r="H594" i="1"/>
  <c r="H612" i="1"/>
  <c r="H486" i="1"/>
  <c r="I583" i="1"/>
  <c r="H474" i="1"/>
  <c r="H463" i="1"/>
  <c r="I450" i="1"/>
  <c r="I427" i="1"/>
  <c r="H422" i="1"/>
  <c r="H344" i="1"/>
  <c r="I332" i="1"/>
  <c r="I301" i="1"/>
  <c r="H609" i="1"/>
  <c r="H596" i="1"/>
  <c r="H590" i="1"/>
  <c r="H577" i="1"/>
  <c r="I536" i="1"/>
  <c r="I502" i="1"/>
  <c r="H468" i="1"/>
  <c r="H456" i="1"/>
  <c r="I415" i="1"/>
  <c r="I369" i="1"/>
  <c r="H357" i="1"/>
  <c r="H326" i="1"/>
  <c r="H289" i="1"/>
  <c r="I163" i="1"/>
  <c r="H133" i="1"/>
  <c r="H98" i="1"/>
  <c r="H86" i="1"/>
  <c r="H43" i="1"/>
  <c r="H11" i="1"/>
  <c r="H379" i="1"/>
  <c r="I365" i="1"/>
  <c r="I595" i="1"/>
  <c r="I467" i="1"/>
  <c r="I455" i="1"/>
  <c r="I403" i="1"/>
  <c r="I386" i="1"/>
  <c r="I356" i="1"/>
  <c r="I319" i="1"/>
  <c r="I16" i="1"/>
  <c r="H608" i="1"/>
  <c r="H602" i="1"/>
  <c r="H589" i="1"/>
  <c r="H576" i="1"/>
  <c r="H570" i="1"/>
  <c r="I542" i="1"/>
  <c r="H519" i="1"/>
  <c r="I495" i="1"/>
  <c r="H483" i="1"/>
  <c r="H462" i="1"/>
  <c r="I443" i="1"/>
  <c r="H438" i="1"/>
  <c r="I426" i="1"/>
  <c r="H409" i="1"/>
  <c r="H398" i="1"/>
  <c r="I391" i="1"/>
  <c r="I349" i="1"/>
  <c r="I331" i="1"/>
  <c r="I325" i="1"/>
  <c r="I313" i="1"/>
  <c r="I300" i="1"/>
  <c r="H288" i="1"/>
  <c r="H251" i="1"/>
  <c r="I156" i="1"/>
  <c r="H151" i="1"/>
  <c r="H145" i="1"/>
  <c r="I132" i="1"/>
  <c r="I128" i="1"/>
  <c r="H92" i="1"/>
  <c r="H79" i="1"/>
  <c r="H23" i="1"/>
  <c r="H454" i="1"/>
  <c r="I472" i="1"/>
  <c r="H306" i="1"/>
  <c r="H231" i="1"/>
  <c r="I144" i="1"/>
  <c r="H41" i="1"/>
  <c r="H9" i="1"/>
  <c r="H368" i="1"/>
  <c r="I368" i="1"/>
  <c r="H260" i="1"/>
  <c r="I260" i="1"/>
  <c r="H190" i="1"/>
  <c r="I190" i="1"/>
  <c r="H184" i="1"/>
  <c r="I184" i="1"/>
  <c r="H108" i="1"/>
  <c r="I108" i="1"/>
  <c r="H53" i="1"/>
  <c r="I53" i="1"/>
  <c r="H22" i="1"/>
  <c r="I22" i="1"/>
  <c r="I613" i="1"/>
  <c r="I609" i="1"/>
  <c r="I605" i="1"/>
  <c r="I601" i="1"/>
  <c r="I597" i="1"/>
  <c r="I593" i="1"/>
  <c r="I589" i="1"/>
  <c r="I585" i="1"/>
  <c r="I577" i="1"/>
  <c r="I573" i="1"/>
  <c r="I569" i="1"/>
  <c r="I565" i="1"/>
  <c r="H561" i="1"/>
  <c r="I553" i="1"/>
  <c r="I548" i="1"/>
  <c r="I539" i="1"/>
  <c r="I530" i="1"/>
  <c r="H526" i="1"/>
  <c r="I516" i="1"/>
  <c r="I507" i="1"/>
  <c r="H498" i="1"/>
  <c r="I493" i="1"/>
  <c r="H488" i="1"/>
  <c r="I458" i="1"/>
  <c r="H453" i="1"/>
  <c r="I448" i="1"/>
  <c r="I433" i="1"/>
  <c r="I417" i="1"/>
  <c r="I401" i="1"/>
  <c r="I385" i="1"/>
  <c r="H314" i="1"/>
  <c r="I314" i="1"/>
  <c r="I284" i="1"/>
  <c r="H235" i="1"/>
  <c r="I235" i="1"/>
  <c r="H148" i="1"/>
  <c r="I148" i="1"/>
  <c r="I89" i="1"/>
  <c r="I557" i="1"/>
  <c r="I521" i="1"/>
  <c r="I473" i="1"/>
  <c r="H338" i="1"/>
  <c r="H320" i="1"/>
  <c r="I320" i="1"/>
  <c r="H295" i="1"/>
  <c r="I295" i="1"/>
  <c r="H271" i="1"/>
  <c r="I271" i="1"/>
  <c r="H253" i="1"/>
  <c r="I253" i="1"/>
  <c r="H227" i="1"/>
  <c r="I227" i="1"/>
  <c r="H177" i="1"/>
  <c r="I177" i="1"/>
  <c r="H34" i="1"/>
  <c r="I34" i="1"/>
  <c r="H432" i="1"/>
  <c r="I432" i="1"/>
  <c r="H416" i="1"/>
  <c r="I416" i="1"/>
  <c r="H400" i="1"/>
  <c r="I400" i="1"/>
  <c r="H384" i="1"/>
  <c r="I384" i="1"/>
  <c r="H283" i="1"/>
  <c r="I283" i="1"/>
  <c r="H208" i="1"/>
  <c r="I208" i="1"/>
  <c r="H100" i="1"/>
  <c r="I100" i="1"/>
  <c r="H327" i="1"/>
  <c r="I327" i="1"/>
  <c r="I525" i="1"/>
  <c r="I497" i="1"/>
  <c r="I608" i="1"/>
  <c r="I596" i="1"/>
  <c r="I584" i="1"/>
  <c r="I572" i="1"/>
  <c r="I524" i="1"/>
  <c r="I515" i="1"/>
  <c r="I491" i="1"/>
  <c r="I477" i="1"/>
  <c r="I437" i="1"/>
  <c r="I421" i="1"/>
  <c r="I405" i="1"/>
  <c r="I389" i="1"/>
  <c r="I239" i="1"/>
  <c r="H220" i="1"/>
  <c r="I220" i="1"/>
  <c r="H140" i="1"/>
  <c r="I140" i="1"/>
  <c r="I134" i="1"/>
  <c r="I112" i="1"/>
  <c r="H502" i="1"/>
  <c r="H492" i="1"/>
  <c r="I277" i="1"/>
  <c r="H277" i="1"/>
  <c r="H245" i="1"/>
  <c r="I245" i="1"/>
  <c r="H64" i="1"/>
  <c r="I64" i="1"/>
  <c r="I612" i="1"/>
  <c r="I600" i="1"/>
  <c r="I592" i="1"/>
  <c r="I568" i="1"/>
  <c r="H604" i="1"/>
  <c r="H588" i="1"/>
  <c r="I529" i="1"/>
  <c r="I486" i="1"/>
  <c r="H481" i="1"/>
  <c r="I471" i="1"/>
  <c r="I366" i="1"/>
  <c r="H99" i="1"/>
  <c r="I99" i="1"/>
  <c r="H26" i="1"/>
  <c r="I26" i="1"/>
  <c r="H14" i="1"/>
  <c r="I14" i="1"/>
  <c r="I576" i="1"/>
  <c r="I564" i="1"/>
  <c r="H534" i="1"/>
  <c r="I551" i="1"/>
  <c r="H533" i="1"/>
  <c r="I476" i="1"/>
  <c r="I457" i="1"/>
  <c r="H538" i="1"/>
  <c r="H506" i="1"/>
  <c r="I501" i="1"/>
  <c r="H496" i="1"/>
  <c r="I466" i="1"/>
  <c r="I456" i="1"/>
  <c r="H436" i="1"/>
  <c r="I436" i="1"/>
  <c r="H420" i="1"/>
  <c r="I420" i="1"/>
  <c r="H404" i="1"/>
  <c r="I404" i="1"/>
  <c r="H388" i="1"/>
  <c r="I388" i="1"/>
  <c r="I372" i="1"/>
  <c r="H264" i="1"/>
  <c r="I264" i="1"/>
  <c r="H244" i="1"/>
  <c r="I244" i="1"/>
  <c r="H232" i="1"/>
  <c r="I232" i="1"/>
  <c r="H181" i="1"/>
  <c r="I181" i="1"/>
  <c r="I75" i="1"/>
  <c r="I62" i="1"/>
  <c r="H257" i="1"/>
  <c r="I257" i="1"/>
  <c r="I425" i="1"/>
  <c r="I393" i="1"/>
  <c r="H365" i="1"/>
  <c r="H324" i="1"/>
  <c r="I324" i="1"/>
  <c r="I299" i="1"/>
  <c r="H500" i="1"/>
  <c r="H359" i="1"/>
  <c r="I359" i="1"/>
  <c r="H127" i="1"/>
  <c r="I127" i="1"/>
  <c r="H514" i="1"/>
  <c r="H490" i="1"/>
  <c r="I485" i="1"/>
  <c r="H480" i="1"/>
  <c r="H440" i="1"/>
  <c r="I440" i="1"/>
  <c r="H424" i="1"/>
  <c r="I424" i="1"/>
  <c r="H408" i="1"/>
  <c r="I408" i="1"/>
  <c r="H392" i="1"/>
  <c r="I392" i="1"/>
  <c r="H335" i="1"/>
  <c r="I335" i="1"/>
  <c r="H323" i="1"/>
  <c r="I323" i="1"/>
  <c r="H121" i="1"/>
  <c r="I121" i="1"/>
  <c r="H49" i="1"/>
  <c r="I49" i="1"/>
  <c r="H38" i="1"/>
  <c r="I38" i="1"/>
  <c r="H510" i="1"/>
  <c r="I441" i="1"/>
  <c r="I409" i="1"/>
  <c r="H371" i="1"/>
  <c r="I371" i="1"/>
  <c r="H80" i="1"/>
  <c r="I80" i="1"/>
  <c r="H317" i="1"/>
  <c r="I317" i="1"/>
  <c r="H180" i="1"/>
  <c r="I180" i="1"/>
  <c r="H18" i="1"/>
  <c r="I18" i="1"/>
  <c r="H352" i="1"/>
  <c r="I352" i="1"/>
  <c r="H280" i="1"/>
  <c r="I280" i="1"/>
  <c r="H217" i="1"/>
  <c r="I217" i="1"/>
  <c r="H91" i="1"/>
  <c r="I91" i="1"/>
  <c r="I85" i="1"/>
  <c r="H85" i="1"/>
  <c r="H30" i="1"/>
  <c r="I30" i="1"/>
  <c r="H67" i="1"/>
  <c r="I67" i="1"/>
  <c r="I461" i="1"/>
  <c r="I602" i="1"/>
  <c r="I590" i="1"/>
  <c r="I578" i="1"/>
  <c r="I566" i="1"/>
  <c r="I540" i="1"/>
  <c r="I531" i="1"/>
  <c r="I508" i="1"/>
  <c r="I459" i="1"/>
  <c r="H494" i="1"/>
  <c r="H351" i="1"/>
  <c r="I261" i="1"/>
  <c r="H203" i="1"/>
  <c r="I203" i="1"/>
  <c r="I197" i="1"/>
  <c r="H42" i="1"/>
  <c r="I42" i="1"/>
  <c r="H10" i="1"/>
  <c r="I10" i="1"/>
  <c r="H305" i="1"/>
  <c r="I305" i="1"/>
  <c r="H193" i="1"/>
  <c r="I193" i="1"/>
  <c r="H157" i="1"/>
  <c r="I157" i="1"/>
  <c r="H50" i="1"/>
  <c r="I50" i="1"/>
  <c r="H542" i="1"/>
  <c r="H263" i="1"/>
  <c r="I263" i="1"/>
  <c r="H199" i="1"/>
  <c r="I199" i="1"/>
  <c r="I537" i="1"/>
  <c r="I505" i="1"/>
  <c r="H347" i="1"/>
  <c r="I347" i="1"/>
  <c r="H311" i="1"/>
  <c r="I311" i="1"/>
  <c r="H168" i="1"/>
  <c r="I168" i="1"/>
  <c r="H68" i="1"/>
  <c r="I68" i="1"/>
  <c r="I541" i="1"/>
  <c r="I509" i="1"/>
  <c r="I465" i="1"/>
  <c r="I610" i="1"/>
  <c r="I606" i="1"/>
  <c r="I598" i="1"/>
  <c r="I594" i="1"/>
  <c r="I586" i="1"/>
  <c r="I582" i="1"/>
  <c r="I574" i="1"/>
  <c r="I570" i="1"/>
  <c r="I562" i="1"/>
  <c r="H518" i="1"/>
  <c r="H504" i="1"/>
  <c r="I429" i="1"/>
  <c r="I413" i="1"/>
  <c r="I397" i="1"/>
  <c r="I381" i="1"/>
  <c r="H340" i="1"/>
  <c r="I340" i="1"/>
  <c r="I211" i="1"/>
  <c r="H167" i="1"/>
  <c r="I167" i="1"/>
  <c r="H549" i="1"/>
  <c r="I545" i="1"/>
  <c r="H517" i="1"/>
  <c r="I503" i="1"/>
  <c r="I489" i="1"/>
  <c r="H484" i="1"/>
  <c r="I454" i="1"/>
  <c r="H449" i="1"/>
  <c r="H553" i="1"/>
  <c r="I526" i="1"/>
  <c r="H522" i="1"/>
  <c r="I498" i="1"/>
  <c r="H493" i="1"/>
  <c r="I488" i="1"/>
  <c r="I469" i="1"/>
  <c r="H428" i="1"/>
  <c r="I428" i="1"/>
  <c r="H412" i="1"/>
  <c r="I412" i="1"/>
  <c r="H396" i="1"/>
  <c r="I396" i="1"/>
  <c r="H380" i="1"/>
  <c r="I380" i="1"/>
  <c r="I375" i="1"/>
  <c r="I328" i="1"/>
  <c r="H296" i="1"/>
  <c r="I296" i="1"/>
  <c r="H272" i="1"/>
  <c r="I272" i="1"/>
  <c r="H254" i="1"/>
  <c r="I254" i="1"/>
  <c r="I248" i="1"/>
  <c r="H216" i="1"/>
  <c r="I216" i="1"/>
  <c r="I143" i="1"/>
  <c r="H59" i="1"/>
  <c r="I59" i="1"/>
  <c r="I233" i="1"/>
  <c r="H209" i="1"/>
  <c r="H141" i="1"/>
  <c r="I297" i="1"/>
  <c r="H273" i="1"/>
  <c r="H213" i="1"/>
  <c r="I169" i="1"/>
  <c r="H101" i="1"/>
  <c r="I6" i="1"/>
  <c r="H374" i="1"/>
  <c r="I361" i="1"/>
  <c r="H346" i="1"/>
  <c r="H337" i="1"/>
  <c r="H222" i="1"/>
  <c r="H186" i="1"/>
  <c r="H150" i="1"/>
  <c r="H114" i="1"/>
  <c r="H286" i="1"/>
  <c r="H250" i="1"/>
  <c r="H154" i="1"/>
  <c r="H118" i="1"/>
  <c r="H82" i="1"/>
  <c r="H46" i="1"/>
  <c r="I341" i="1"/>
  <c r="I304" i="1"/>
  <c r="I285" i="1"/>
  <c r="I276" i="1"/>
  <c r="I231" i="1"/>
  <c r="I153" i="1"/>
  <c r="I117" i="1"/>
  <c r="I63" i="1"/>
  <c r="I45" i="1"/>
  <c r="I41" i="1"/>
  <c r="I33" i="1"/>
  <c r="I29" i="1"/>
  <c r="I25" i="1"/>
  <c r="I21" i="1"/>
  <c r="I17" i="1"/>
  <c r="I13" i="1"/>
  <c r="I9" i="1"/>
  <c r="I326" i="1"/>
  <c r="H322" i="1"/>
  <c r="H262" i="1"/>
  <c r="H249" i="1"/>
  <c r="H226" i="1"/>
  <c r="H221" i="1"/>
  <c r="I202" i="1"/>
  <c r="H198" i="1"/>
  <c r="H185" i="1"/>
  <c r="I149" i="1"/>
  <c r="I126" i="1"/>
  <c r="H90" i="1"/>
  <c r="H81" i="1"/>
  <c r="I58" i="1"/>
  <c r="I5" i="1"/>
  <c r="I4" i="1"/>
  <c r="H354" i="1"/>
  <c r="H349" i="1"/>
  <c r="H330" i="1"/>
  <c r="H162" i="1"/>
  <c r="H130" i="1"/>
  <c r="H94" i="1"/>
  <c r="H353" i="1"/>
  <c r="I316" i="1"/>
  <c r="I307" i="1"/>
  <c r="I256" i="1"/>
  <c r="H161" i="1"/>
  <c r="H57" i="1"/>
  <c r="H358" i="1"/>
  <c r="H334" i="1"/>
  <c r="I298" i="1"/>
  <c r="I247" i="1"/>
  <c r="I238" i="1"/>
  <c r="H234" i="1"/>
  <c r="I210" i="1"/>
  <c r="I196" i="1"/>
  <c r="I170" i="1"/>
  <c r="I160" i="1"/>
  <c r="I142" i="1"/>
  <c r="I137" i="1"/>
  <c r="I124" i="1"/>
  <c r="I111" i="1"/>
  <c r="H93" i="1"/>
  <c r="I88" i="1"/>
  <c r="I74" i="1"/>
  <c r="H61" i="1"/>
  <c r="I56" i="1"/>
  <c r="I200" i="1"/>
  <c r="I187" i="1"/>
  <c r="I151" i="1"/>
  <c r="I115" i="1"/>
  <c r="I92" i="1"/>
  <c r="I65" i="1"/>
  <c r="I43" i="1"/>
  <c r="I39" i="1"/>
  <c r="I35" i="1"/>
  <c r="I31" i="1"/>
  <c r="I27" i="1"/>
  <c r="I23" i="1"/>
  <c r="I19" i="1"/>
  <c r="I15" i="1"/>
  <c r="I11" i="1"/>
  <c r="I7" i="1"/>
  <c r="H362" i="1"/>
  <c r="H302" i="1"/>
  <c r="H293" i="1"/>
  <c r="H269" i="1"/>
  <c r="H242" i="1"/>
  <c r="H233" i="1"/>
  <c r="H174" i="1"/>
  <c r="H165" i="1"/>
  <c r="H102" i="1"/>
  <c r="H97" i="1"/>
  <c r="I353" i="1"/>
  <c r="I289" i="1"/>
  <c r="I225" i="1"/>
  <c r="I161" i="1"/>
  <c r="I97" i="1"/>
  <c r="I370" i="1"/>
  <c r="I357" i="1"/>
  <c r="I306" i="1"/>
  <c r="I293" i="1"/>
  <c r="I242" i="1"/>
  <c r="I229" i="1"/>
  <c r="I165" i="1"/>
  <c r="I101" i="1"/>
  <c r="I374" i="1"/>
  <c r="I310" i="1"/>
  <c r="I246" i="1"/>
  <c r="I330" i="1"/>
  <c r="I266" i="1"/>
  <c r="I61" i="1"/>
  <c r="I333" i="1"/>
  <c r="I269" i="1"/>
  <c r="I141" i="1"/>
  <c r="I350" i="1"/>
  <c r="I337" i="1"/>
  <c r="I286" i="1"/>
  <c r="I273" i="1"/>
  <c r="I222" i="1"/>
  <c r="I209" i="1"/>
  <c r="H205" i="1"/>
  <c r="I145" i="1"/>
  <c r="I81" i="1"/>
  <c r="H77" i="1"/>
  <c r="I354" i="1"/>
  <c r="I290" i="1"/>
  <c r="I226" i="1"/>
</calcChain>
</file>

<file path=xl/sharedStrings.xml><?xml version="1.0" encoding="utf-8"?>
<sst xmlns="http://schemas.openxmlformats.org/spreadsheetml/2006/main" count="648" uniqueCount="645">
  <si>
    <t>m1_naive_runtime_ms_mean</t>
  </si>
  <si>
    <t>m1_naive_runtime_ms_stddev</t>
  </si>
  <si>
    <t>m1_naive_train_MBE_mean</t>
  </si>
  <si>
    <t>m1_naive_train_MBE_stddev</t>
  </si>
  <si>
    <t>m1_naive_train_MAE_mean</t>
  </si>
  <si>
    <t>m1_naive_train_MAE_stddev</t>
  </si>
  <si>
    <t>m1_naive_train_RMSE_mean</t>
  </si>
  <si>
    <t>m1_naive_train_RMSE_stddev</t>
  </si>
  <si>
    <t>m1_naive_train_MAPE_mean</t>
  </si>
  <si>
    <t>m1_naive_train_MAPE_stddev</t>
  </si>
  <si>
    <t>m1_naive_train_MASE_mean</t>
  </si>
  <si>
    <t>m1_naive_train_MASE_stddev</t>
  </si>
  <si>
    <t>m1_naive_train_fskill_mean</t>
  </si>
  <si>
    <t>m1_naive_train_fskill_stddev</t>
  </si>
  <si>
    <t>m1_naive_train_R2_mean</t>
  </si>
  <si>
    <t>m1_naive_train_R2_stddev</t>
  </si>
  <si>
    <t>m1_naive_test_MBE_mean</t>
  </si>
  <si>
    <t>m1_naive_test_MBE_stddev</t>
  </si>
  <si>
    <t>m1_naive_test_MAE_mean</t>
  </si>
  <si>
    <t>m1_naive_test_MAE_stddev</t>
  </si>
  <si>
    <t>m1_naive_test_RMSE_mean</t>
  </si>
  <si>
    <t>m1_naive_test_RMSE_stddev</t>
  </si>
  <si>
    <t>m1_naive_test_MAPE_mean</t>
  </si>
  <si>
    <t>m1_naive_test_MAPE_stddev</t>
  </si>
  <si>
    <t>m1_naive_test_MASE_mean</t>
  </si>
  <si>
    <t>m1_naive_test_MASE_stddev</t>
  </si>
  <si>
    <t>m1_naive_test_fskill_mean</t>
  </si>
  <si>
    <t>m1_naive_test_fskill_stddev</t>
  </si>
  <si>
    <t>m1_naive_test_R2_mean</t>
  </si>
  <si>
    <t>m1_naive_test_R2_stddev</t>
  </si>
  <si>
    <t>m1_naive_train_nRMSE_mean</t>
  </si>
  <si>
    <t>m1_naive_train_nRMSE_stddev</t>
  </si>
  <si>
    <t>m1_naive_test_nRMSE_mean</t>
  </si>
  <si>
    <t>m1_naive_test_nRMSE_stddev</t>
  </si>
  <si>
    <t>m2_snaive_runtime_ms_mean</t>
  </si>
  <si>
    <t>m2_snaive_runtime_ms_stddev</t>
  </si>
  <si>
    <t>m2_snaive_train_MBE_mean</t>
  </si>
  <si>
    <t>m2_snaive_train_MBE_stddev</t>
  </si>
  <si>
    <t>m2_snaive_train_MAE_mean</t>
  </si>
  <si>
    <t>m2_snaive_train_MAE_stddev</t>
  </si>
  <si>
    <t>m2_snaive_train_RMSE_mean</t>
  </si>
  <si>
    <t>m2_snaive_train_RMSE_stddev</t>
  </si>
  <si>
    <t>m2_snaive_train_MAPE_mean</t>
  </si>
  <si>
    <t>m2_snaive_train_MAPE_stddev</t>
  </si>
  <si>
    <t>m2_snaive_train_MASE_mean</t>
  </si>
  <si>
    <t>m2_snaive_train_MASE_stddev</t>
  </si>
  <si>
    <t>m2_snaive_train_fskill_mean</t>
  </si>
  <si>
    <t>m2_snaive_train_fskill_stddev</t>
  </si>
  <si>
    <t>m2_snaive_train_R2_mean</t>
  </si>
  <si>
    <t>m2_snaive_train_R2_stddev</t>
  </si>
  <si>
    <t>m2_snaive_test_MBE_mean</t>
  </si>
  <si>
    <t>m2_snaive_test_MBE_stddev</t>
  </si>
  <si>
    <t>m2_snaive_test_MAE_mean</t>
  </si>
  <si>
    <t>m2_snaive_test_MAE_stddev</t>
  </si>
  <si>
    <t>m2_snaive_test_RMSE_mean</t>
  </si>
  <si>
    <t>m2_snaive_test_RMSE_stddev</t>
  </si>
  <si>
    <t>m2_snaive_test_MAPE_mean</t>
  </si>
  <si>
    <t>m2_snaive_test_MAPE_stddev</t>
  </si>
  <si>
    <t>m2_snaive_test_MASE_mean</t>
  </si>
  <si>
    <t>m2_snaive_test_MASE_stddev</t>
  </si>
  <si>
    <t>m2_snaive_test_fskill_mean</t>
  </si>
  <si>
    <t>m2_snaive_test_fskill_stddev</t>
  </si>
  <si>
    <t>m2_snaive_test_R2_mean</t>
  </si>
  <si>
    <t>m2_snaive_test_R2_stddev</t>
  </si>
  <si>
    <t>m2_snaive_train_nRMSE_mean</t>
  </si>
  <si>
    <t>m2_snaive_train_nRMSE_stddev</t>
  </si>
  <si>
    <t>m2_snaive_test_nRMSE_mean</t>
  </si>
  <si>
    <t>m2_snaive_test_nRMSE_stddev</t>
  </si>
  <si>
    <t>m3_ets_runtime_ms_mean</t>
  </si>
  <si>
    <t>m3_ets_runtime_ms_stddev</t>
  </si>
  <si>
    <t>m3_ets_train_MBE_mean</t>
  </si>
  <si>
    <t>m3_ets_train_MBE_stddev</t>
  </si>
  <si>
    <t>m3_ets_train_MAE_mean</t>
  </si>
  <si>
    <t>m3_ets_train_MAE_stddev</t>
  </si>
  <si>
    <t>m3_ets_train_RMSE_mean</t>
  </si>
  <si>
    <t>m3_ets_train_RMSE_stddev</t>
  </si>
  <si>
    <t>m3_ets_train_MAPE_mean</t>
  </si>
  <si>
    <t>m3_ets_train_MAPE_stddev</t>
  </si>
  <si>
    <t>m3_ets_train_MASE_mean</t>
  </si>
  <si>
    <t>m3_ets_train_MASE_stddev</t>
  </si>
  <si>
    <t>m3_ets_train_fskill_mean</t>
  </si>
  <si>
    <t>m3_ets_train_fskill_stddev</t>
  </si>
  <si>
    <t>m3_ets_train_R2_mean</t>
  </si>
  <si>
    <t>m3_ets_train_R2_stddev</t>
  </si>
  <si>
    <t>m3_ets_test_MBE_mean</t>
  </si>
  <si>
    <t>m3_ets_test_MBE_stddev</t>
  </si>
  <si>
    <t>m3_ets_test_MAE_mean</t>
  </si>
  <si>
    <t>m3_ets_test_MAE_stddev</t>
  </si>
  <si>
    <t>m3_ets_test_RMSE_mean</t>
  </si>
  <si>
    <t>m3_ets_test_RMSE_stddev</t>
  </si>
  <si>
    <t>m3_ets_test_MAPE_mean</t>
  </si>
  <si>
    <t>m3_ets_test_MAPE_stddev</t>
  </si>
  <si>
    <t>m3_ets_test_MASE_mean</t>
  </si>
  <si>
    <t>m3_ets_test_MASE_stddev</t>
  </si>
  <si>
    <t>m3_ets_test_fskill_mean</t>
  </si>
  <si>
    <t>m3_ets_test_fskill_stddev</t>
  </si>
  <si>
    <t>m3_ets_test_R2_mean</t>
  </si>
  <si>
    <t>m3_ets_test_R2_stddev</t>
  </si>
  <si>
    <t>m3_ets_train_nRMSE_mean</t>
  </si>
  <si>
    <t>m3_ets_train_nRMSE_stddev</t>
  </si>
  <si>
    <t>m3_ets_test_nRMSE_mean</t>
  </si>
  <si>
    <t>m3_ets_test_nRMSE_stddev</t>
  </si>
  <si>
    <t>m4_arima_runtime_ms_mean</t>
  </si>
  <si>
    <t>m4_arima_runtime_ms_stddev</t>
  </si>
  <si>
    <t>m4_arima_train_MBE_mean</t>
  </si>
  <si>
    <t>m4_arima_train_MBE_stddev</t>
  </si>
  <si>
    <t>m4_arima_train_MAE_mean</t>
  </si>
  <si>
    <t>m4_arima_train_MAE_stddev</t>
  </si>
  <si>
    <t>m4_arima_train_RMSE_mean</t>
  </si>
  <si>
    <t>m4_arima_train_RMSE_stddev</t>
  </si>
  <si>
    <t>m4_arima_train_MAPE_mean</t>
  </si>
  <si>
    <t>m4_arima_train_MAPE_stddev</t>
  </si>
  <si>
    <t>m4_arima_train_MASE_mean</t>
  </si>
  <si>
    <t>m4_arima_train_MASE_stddev</t>
  </si>
  <si>
    <t>m4_arima_train_fskill_mean</t>
  </si>
  <si>
    <t>m4_arima_train_fskill_stddev</t>
  </si>
  <si>
    <t>m4_arima_train_R2_mean</t>
  </si>
  <si>
    <t>m4_arima_train_R2_stddev</t>
  </si>
  <si>
    <t>m4_arima_test_MBE_mean</t>
  </si>
  <si>
    <t>m4_arima_test_MBE_stddev</t>
  </si>
  <si>
    <t>m4_arima_test_MAE_mean</t>
  </si>
  <si>
    <t>m4_arima_test_MAE_stddev</t>
  </si>
  <si>
    <t>m4_arima_test_RMSE_mean</t>
  </si>
  <si>
    <t>m4_arima_test_RMSE_stddev</t>
  </si>
  <si>
    <t>m4_arima_test_MAPE_mean</t>
  </si>
  <si>
    <t>m4_arima_test_MAPE_stddev</t>
  </si>
  <si>
    <t>m4_arima_test_MASE_mean</t>
  </si>
  <si>
    <t>m4_arima_test_MASE_stddev</t>
  </si>
  <si>
    <t>m4_arima_test_fskill_mean</t>
  </si>
  <si>
    <t>m4_arima_test_fskill_stddev</t>
  </si>
  <si>
    <t>m4_arima_test_R2_mean</t>
  </si>
  <si>
    <t>m4_arima_test_R2_stddev</t>
  </si>
  <si>
    <t>m4_arima_train_nRMSE_mean</t>
  </si>
  <si>
    <t>m4_arima_train_nRMSE_stddev</t>
  </si>
  <si>
    <t>m4_arima_test_nRMSE_mean</t>
  </si>
  <si>
    <t>m4_arima_test_nRMSE_stddev</t>
  </si>
  <si>
    <t>m5_sarima_runtime_ms_mean</t>
  </si>
  <si>
    <t>m5_sarima_runtime_ms_stddev</t>
  </si>
  <si>
    <t>m5_sarima_train_MBE_mean</t>
  </si>
  <si>
    <t>m5_sarima_train_MBE_stddev</t>
  </si>
  <si>
    <t>m5_sarima_train_MAE_mean</t>
  </si>
  <si>
    <t>m5_sarima_train_MAE_stddev</t>
  </si>
  <si>
    <t>m5_sarima_train_RMSE_mean</t>
  </si>
  <si>
    <t>m5_sarima_train_RMSE_stddev</t>
  </si>
  <si>
    <t>m5_sarima_train_MAPE_mean</t>
  </si>
  <si>
    <t>m5_sarima_train_MAPE_stddev</t>
  </si>
  <si>
    <t>m5_sarima_train_MASE_mean</t>
  </si>
  <si>
    <t>m5_sarima_train_MASE_stddev</t>
  </si>
  <si>
    <t>m5_sarima_train_fskill_mean</t>
  </si>
  <si>
    <t>m5_sarima_train_fskill_stddev</t>
  </si>
  <si>
    <t>m5_sarima_train_R2_mean</t>
  </si>
  <si>
    <t>m5_sarima_train_R2_stddev</t>
  </si>
  <si>
    <t>m5_sarima_test_MBE_mean</t>
  </si>
  <si>
    <t>m5_sarima_test_MBE_stddev</t>
  </si>
  <si>
    <t>m5_sarima_test_MAE_mean</t>
  </si>
  <si>
    <t>m5_sarima_test_MAE_stddev</t>
  </si>
  <si>
    <t>m5_sarima_test_RMSE_mean</t>
  </si>
  <si>
    <t>m5_sarima_test_RMSE_stddev</t>
  </si>
  <si>
    <t>m5_sarima_test_MAPE_mean</t>
  </si>
  <si>
    <t>m5_sarima_test_MAPE_stddev</t>
  </si>
  <si>
    <t>m5_sarima_test_MASE_mean</t>
  </si>
  <si>
    <t>m5_sarima_test_MASE_stddev</t>
  </si>
  <si>
    <t>m5_sarima_test_fskill_mean</t>
  </si>
  <si>
    <t>m5_sarima_test_fskill_stddev</t>
  </si>
  <si>
    <t>m5_sarima_test_R2_mean</t>
  </si>
  <si>
    <t>m5_sarima_test_R2_stddev</t>
  </si>
  <si>
    <t>m5_sarima_train_nRMSE_mean</t>
  </si>
  <si>
    <t>m5_sarima_train_nRMSE_stddev</t>
  </si>
  <si>
    <t>m5_sarima_test_nRMSE_mean</t>
  </si>
  <si>
    <t>m5_sarima_test_nRMSE_stddev</t>
  </si>
  <si>
    <t>m6_lr_runtime_ms_mean</t>
  </si>
  <si>
    <t>m6_lr_runtime_ms_stddev</t>
  </si>
  <si>
    <t>m6_lr_train_MBE_mean</t>
  </si>
  <si>
    <t>m6_lr_train_MBE_stddev</t>
  </si>
  <si>
    <t>m6_lr_train_MAE_mean</t>
  </si>
  <si>
    <t>m6_lr_train_MAE_stddev</t>
  </si>
  <si>
    <t>m6_lr_train_RMSE_mean</t>
  </si>
  <si>
    <t>m6_lr_train_RMSE_stddev</t>
  </si>
  <si>
    <t>m6_lr_train_MAPE_mean</t>
  </si>
  <si>
    <t>m6_lr_train_MAPE_stddev</t>
  </si>
  <si>
    <t>m6_lr_train_MASE_mean</t>
  </si>
  <si>
    <t>m6_lr_train_MASE_stddev</t>
  </si>
  <si>
    <t>m6_lr_train_fskill_mean</t>
  </si>
  <si>
    <t>m6_lr_train_fskill_stddev</t>
  </si>
  <si>
    <t>m6_lr_train_R2_mean</t>
  </si>
  <si>
    <t>m6_lr_train_R2_stddev</t>
  </si>
  <si>
    <t>m6_lr_test_MBE_mean</t>
  </si>
  <si>
    <t>m6_lr_test_MBE_stddev</t>
  </si>
  <si>
    <t>m6_lr_test_MAE_mean</t>
  </si>
  <si>
    <t>m6_lr_test_MAE_stddev</t>
  </si>
  <si>
    <t>m6_lr_test_RMSE_mean</t>
  </si>
  <si>
    <t>m6_lr_test_RMSE_stddev</t>
  </si>
  <si>
    <t>m6_lr_test_MAPE_mean</t>
  </si>
  <si>
    <t>m6_lr_test_MAPE_stddev</t>
  </si>
  <si>
    <t>m6_lr_test_MASE_mean</t>
  </si>
  <si>
    <t>m6_lr_test_MASE_stddev</t>
  </si>
  <si>
    <t>m6_lr_test_fskill_mean</t>
  </si>
  <si>
    <t>m6_lr_test_fskill_stddev</t>
  </si>
  <si>
    <t>m6_lr_test_R2_mean</t>
  </si>
  <si>
    <t>m6_lr_test_R2_stddev</t>
  </si>
  <si>
    <t>m6_lr_train_nRMSE_mean</t>
  </si>
  <si>
    <t>m6_lr_train_nRMSE_stddev</t>
  </si>
  <si>
    <t>m6_lr_test_nRMSE_mean</t>
  </si>
  <si>
    <t>m6_lr_test_nRMSE_stddev</t>
  </si>
  <si>
    <t>m7_ann_runtime_ms_mean</t>
  </si>
  <si>
    <t>m7_ann_runtime_ms_stddev</t>
  </si>
  <si>
    <t>m7_ann_train_MBE_mean</t>
  </si>
  <si>
    <t>m7_ann_train_MBE_stddev</t>
  </si>
  <si>
    <t>m7_ann_train_MAE_mean</t>
  </si>
  <si>
    <t>m7_ann_train_MAE_stddev</t>
  </si>
  <si>
    <t>m7_ann_train_RMSE_mean</t>
  </si>
  <si>
    <t>m7_ann_train_RMSE_stddev</t>
  </si>
  <si>
    <t>m7_ann_train_MAPE_mean</t>
  </si>
  <si>
    <t>m7_ann_train_MAPE_stddev</t>
  </si>
  <si>
    <t>m7_ann_train_MASE_mean</t>
  </si>
  <si>
    <t>m7_ann_train_MASE_stddev</t>
  </si>
  <si>
    <t>m7_ann_train_fskill_mean</t>
  </si>
  <si>
    <t>m7_ann_train_fskill_stddev</t>
  </si>
  <si>
    <t>m7_ann_train_R2_mean</t>
  </si>
  <si>
    <t>m7_ann_train_R2_stddev</t>
  </si>
  <si>
    <t>m7_ann_test_MBE_mean</t>
  </si>
  <si>
    <t>m7_ann_test_MBE_stddev</t>
  </si>
  <si>
    <t>m7_ann_test_MAE_mean</t>
  </si>
  <si>
    <t>m7_ann_test_MAE_stddev</t>
  </si>
  <si>
    <t>m7_ann_test_RMSE_mean</t>
  </si>
  <si>
    <t>m7_ann_test_RMSE_stddev</t>
  </si>
  <si>
    <t>m7_ann_test_MAPE_mean</t>
  </si>
  <si>
    <t>m7_ann_test_MAPE_stddev</t>
  </si>
  <si>
    <t>m7_ann_test_MASE_mean</t>
  </si>
  <si>
    <t>m7_ann_test_MASE_stddev</t>
  </si>
  <si>
    <t>m7_ann_test_fskill_mean</t>
  </si>
  <si>
    <t>m7_ann_test_fskill_stddev</t>
  </si>
  <si>
    <t>m7_ann_test_R2_mean</t>
  </si>
  <si>
    <t>m7_ann_test_R2_stddev</t>
  </si>
  <si>
    <t>m7_ann_train_nRMSE_mean</t>
  </si>
  <si>
    <t>m7_ann_train_nRMSE_stddev</t>
  </si>
  <si>
    <t>m7_ann_test_nRMSE_mean</t>
  </si>
  <si>
    <t>m7_ann_test_nRMSE_stddev</t>
  </si>
  <si>
    <t>m8_dnn_runtime_ms_mean</t>
  </si>
  <si>
    <t>m8_dnn_runtime_ms_stddev</t>
  </si>
  <si>
    <t>m8_dnn_train_MBE_mean</t>
  </si>
  <si>
    <t>m8_dnn_train_MBE_stddev</t>
  </si>
  <si>
    <t>m8_dnn_train_MAE_mean</t>
  </si>
  <si>
    <t>m8_dnn_train_MAE_stddev</t>
  </si>
  <si>
    <t>m8_dnn_train_RMSE_mean</t>
  </si>
  <si>
    <t>m8_dnn_train_RMSE_stddev</t>
  </si>
  <si>
    <t>m8_dnn_train_MAPE_mean</t>
  </si>
  <si>
    <t>m8_dnn_train_MAPE_stddev</t>
  </si>
  <si>
    <t>m8_dnn_train_MASE_mean</t>
  </si>
  <si>
    <t>m8_dnn_train_MASE_stddev</t>
  </si>
  <si>
    <t>m8_dnn_train_fskill_mean</t>
  </si>
  <si>
    <t>m8_dnn_train_fskill_stddev</t>
  </si>
  <si>
    <t>m8_dnn_train_R2_mean</t>
  </si>
  <si>
    <t>m8_dnn_train_R2_stddev</t>
  </si>
  <si>
    <t>m8_dnn_test_MBE_mean</t>
  </si>
  <si>
    <t>m8_dnn_test_MBE_stddev</t>
  </si>
  <si>
    <t>m8_dnn_test_MAE_mean</t>
  </si>
  <si>
    <t>m8_dnn_test_MAE_stddev</t>
  </si>
  <si>
    <t>m8_dnn_test_RMSE_mean</t>
  </si>
  <si>
    <t>m8_dnn_test_RMSE_stddev</t>
  </si>
  <si>
    <t>m8_dnn_test_MAPE_mean</t>
  </si>
  <si>
    <t>m8_dnn_test_MAPE_stddev</t>
  </si>
  <si>
    <t>m8_dnn_test_MASE_mean</t>
  </si>
  <si>
    <t>m8_dnn_test_MASE_stddev</t>
  </si>
  <si>
    <t>m8_dnn_test_fskill_mean</t>
  </si>
  <si>
    <t>m8_dnn_test_fskill_stddev</t>
  </si>
  <si>
    <t>m8_dnn_test_R2_mean</t>
  </si>
  <si>
    <t>m8_dnn_test_R2_stddev</t>
  </si>
  <si>
    <t>m8_dnn_train_nRMSE_mean</t>
  </si>
  <si>
    <t>m8_dnn_train_nRMSE_stddev</t>
  </si>
  <si>
    <t>m8_dnn_test_nRMSE_mean</t>
  </si>
  <si>
    <t>m8_dnn_test_nRMSE_stddev</t>
  </si>
  <si>
    <t>m9_rt_runtime_ms_mean</t>
  </si>
  <si>
    <t>m9_rt_runtime_ms_stddev</t>
  </si>
  <si>
    <t>m9_rt_train_MBE_mean</t>
  </si>
  <si>
    <t>m9_rt_train_MBE_stddev</t>
  </si>
  <si>
    <t>m9_rt_train_MAE_mean</t>
  </si>
  <si>
    <t>m9_rt_train_MAE_stddev</t>
  </si>
  <si>
    <t>m9_rt_train_RMSE_mean</t>
  </si>
  <si>
    <t>m9_rt_train_RMSE_stddev</t>
  </si>
  <si>
    <t>m9_rt_train_MAPE_mean</t>
  </si>
  <si>
    <t>m9_rt_train_MAPE_stddev</t>
  </si>
  <si>
    <t>m9_rt_train_MASE_mean</t>
  </si>
  <si>
    <t>m9_rt_train_MASE_stddev</t>
  </si>
  <si>
    <t>m9_rt_train_fskill_mean</t>
  </si>
  <si>
    <t>m9_rt_train_fskill_stddev</t>
  </si>
  <si>
    <t>m9_rt_train_R2_mean</t>
  </si>
  <si>
    <t>m9_rt_train_R2_stddev</t>
  </si>
  <si>
    <t>m9_rt_test_MBE_mean</t>
  </si>
  <si>
    <t>m9_rt_test_MBE_stddev</t>
  </si>
  <si>
    <t>m9_rt_test_MAE_mean</t>
  </si>
  <si>
    <t>m9_rt_test_MAE_stddev</t>
  </si>
  <si>
    <t>m9_rt_test_RMSE_mean</t>
  </si>
  <si>
    <t>m9_rt_test_RMSE_stddev</t>
  </si>
  <si>
    <t>m9_rt_test_MAPE_mean</t>
  </si>
  <si>
    <t>m9_rt_test_MAPE_stddev</t>
  </si>
  <si>
    <t>m9_rt_test_MASE_mean</t>
  </si>
  <si>
    <t>m9_rt_test_MASE_stddev</t>
  </si>
  <si>
    <t>m9_rt_test_fskill_mean</t>
  </si>
  <si>
    <t>m9_rt_test_fskill_stddev</t>
  </si>
  <si>
    <t>m9_rt_test_R2_mean</t>
  </si>
  <si>
    <t>m9_rt_test_R2_stddev</t>
  </si>
  <si>
    <t>m9_rt_train_nRMSE_mean</t>
  </si>
  <si>
    <t>m9_rt_train_nRMSE_stddev</t>
  </si>
  <si>
    <t>m9_rt_test_nRMSE_mean</t>
  </si>
  <si>
    <t>m9_rt_test_nRMSE_stddev</t>
  </si>
  <si>
    <t>m10_rf_runtime_ms_mean</t>
  </si>
  <si>
    <t>m10_rf_runtime_ms_stddev</t>
  </si>
  <si>
    <t>m10_rf_train_MBE_mean</t>
  </si>
  <si>
    <t>m10_rf_train_MBE_stddev</t>
  </si>
  <si>
    <t>m10_rf_train_MAE_mean</t>
  </si>
  <si>
    <t>m10_rf_train_MAE_stddev</t>
  </si>
  <si>
    <t>m10_rf_train_RMSE_mean</t>
  </si>
  <si>
    <t>m10_rf_train_RMSE_stddev</t>
  </si>
  <si>
    <t>m10_rf_train_MAPE_mean</t>
  </si>
  <si>
    <t>m10_rf_train_MAPE_stddev</t>
  </si>
  <si>
    <t>m10_rf_train_MASE_mean</t>
  </si>
  <si>
    <t>m10_rf_train_MASE_stddev</t>
  </si>
  <si>
    <t>m10_rf_train_fskill_mean</t>
  </si>
  <si>
    <t>m10_rf_train_fskill_stddev</t>
  </si>
  <si>
    <t>m10_rf_train_R2_mean</t>
  </si>
  <si>
    <t>m10_rf_train_R2_stddev</t>
  </si>
  <si>
    <t>m10_rf_test_MBE_mean</t>
  </si>
  <si>
    <t>m10_rf_test_MBE_stddev</t>
  </si>
  <si>
    <t>m10_rf_test_MAE_mean</t>
  </si>
  <si>
    <t>m10_rf_test_MAE_stddev</t>
  </si>
  <si>
    <t>m10_rf_test_RMSE_mean</t>
  </si>
  <si>
    <t>m10_rf_test_RMSE_stddev</t>
  </si>
  <si>
    <t>m10_rf_test_MAPE_mean</t>
  </si>
  <si>
    <t>m10_rf_test_MAPE_stddev</t>
  </si>
  <si>
    <t>m10_rf_test_MASE_mean</t>
  </si>
  <si>
    <t>m10_rf_test_MASE_stddev</t>
  </si>
  <si>
    <t>m10_rf_test_fskill_mean</t>
  </si>
  <si>
    <t>m10_rf_test_fskill_stddev</t>
  </si>
  <si>
    <t>m10_rf_test_R2_mean</t>
  </si>
  <si>
    <t>m10_rf_test_R2_stddev</t>
  </si>
  <si>
    <t>m10_rf_train_nRMSE_mean</t>
  </si>
  <si>
    <t>m10_rf_train_nRMSE_stddev</t>
  </si>
  <si>
    <t>m10_rf_test_nRMSE_mean</t>
  </si>
  <si>
    <t>m10_rf_test_nRMSE_stddev</t>
  </si>
  <si>
    <t>m11_svr_runtime_ms_mean</t>
  </si>
  <si>
    <t>m11_svr_runtime_ms_stddev</t>
  </si>
  <si>
    <t>m11_svr_train_MBE_mean</t>
  </si>
  <si>
    <t>m11_svr_train_MBE_stddev</t>
  </si>
  <si>
    <t>m11_svr_train_MAE_mean</t>
  </si>
  <si>
    <t>m11_svr_train_MAE_stddev</t>
  </si>
  <si>
    <t>m11_svr_train_RMSE_mean</t>
  </si>
  <si>
    <t>m11_svr_train_RMSE_stddev</t>
  </si>
  <si>
    <t>m11_svr_train_MAPE_mean</t>
  </si>
  <si>
    <t>m11_svr_train_MAPE_stddev</t>
  </si>
  <si>
    <t>m11_svr_train_MASE_mean</t>
  </si>
  <si>
    <t>m11_svr_train_MASE_stddev</t>
  </si>
  <si>
    <t>m11_svr_train_fskill_mean</t>
  </si>
  <si>
    <t>m11_svr_train_fskill_stddev</t>
  </si>
  <si>
    <t>m11_svr_train_R2_mean</t>
  </si>
  <si>
    <t>m11_svr_train_R2_stddev</t>
  </si>
  <si>
    <t>m11_svr_test_MBE_mean</t>
  </si>
  <si>
    <t>m11_svr_test_MBE_stddev</t>
  </si>
  <si>
    <t>m11_svr_test_MAE_mean</t>
  </si>
  <si>
    <t>m11_svr_test_MAE_stddev</t>
  </si>
  <si>
    <t>m11_svr_test_RMSE_mean</t>
  </si>
  <si>
    <t>m11_svr_test_RMSE_stddev</t>
  </si>
  <si>
    <t>m11_svr_test_MAPE_mean</t>
  </si>
  <si>
    <t>m11_svr_test_MAPE_stddev</t>
  </si>
  <si>
    <t>m11_svr_test_MASE_mean</t>
  </si>
  <si>
    <t>m11_svr_test_MASE_stddev</t>
  </si>
  <si>
    <t>m11_svr_test_fskill_mean</t>
  </si>
  <si>
    <t>m11_svr_test_fskill_stddev</t>
  </si>
  <si>
    <t>m11_svr_test_R2_mean</t>
  </si>
  <si>
    <t>m11_svr_test_R2_stddev</t>
  </si>
  <si>
    <t>m11_svr_train_nRMSE_mean</t>
  </si>
  <si>
    <t>m11_svr_train_nRMSE_stddev</t>
  </si>
  <si>
    <t>m11_svr_test_nRMSE_mean</t>
  </si>
  <si>
    <t>m11_svr_test_nRMSE_stddev</t>
  </si>
  <si>
    <t>m12_rnn_runtime_ms_mean</t>
  </si>
  <si>
    <t>m12_rnn_runtime_ms_stddev</t>
  </si>
  <si>
    <t>m12_rnn_train_MBE_mean</t>
  </si>
  <si>
    <t>m12_rnn_train_MBE_stddev</t>
  </si>
  <si>
    <t>m12_rnn_train_MAE_mean</t>
  </si>
  <si>
    <t>m12_rnn_train_MAE_stddev</t>
  </si>
  <si>
    <t>m12_rnn_train_RMSE_mean</t>
  </si>
  <si>
    <t>m12_rnn_train_RMSE_stddev</t>
  </si>
  <si>
    <t>m12_rnn_train_MAPE_mean</t>
  </si>
  <si>
    <t>m12_rnn_train_MAPE_stddev</t>
  </si>
  <si>
    <t>m12_rnn_train_MASE_mean</t>
  </si>
  <si>
    <t>m12_rnn_train_MASE_stddev</t>
  </si>
  <si>
    <t>m12_rnn_train_fskill_mean</t>
  </si>
  <si>
    <t>m12_rnn_train_fskill_stddev</t>
  </si>
  <si>
    <t>m12_rnn_train_R2_mean</t>
  </si>
  <si>
    <t>m12_rnn_train_R2_stddev</t>
  </si>
  <si>
    <t>m12_rnn_test_MBE_mean</t>
  </si>
  <si>
    <t>m12_rnn_test_MBE_stddev</t>
  </si>
  <si>
    <t>m12_rnn_test_MAE_mean</t>
  </si>
  <si>
    <t>m12_rnn_test_MAE_stddev</t>
  </si>
  <si>
    <t>m12_rnn_test_RMSE_mean</t>
  </si>
  <si>
    <t>m12_rnn_test_RMSE_stddev</t>
  </si>
  <si>
    <t>m12_rnn_test_MAPE_mean</t>
  </si>
  <si>
    <t>m12_rnn_test_MAPE_stddev</t>
  </si>
  <si>
    <t>m12_rnn_test_MASE_mean</t>
  </si>
  <si>
    <t>m12_rnn_test_MASE_stddev</t>
  </si>
  <si>
    <t>m12_rnn_test_fskill_mean</t>
  </si>
  <si>
    <t>m12_rnn_test_fskill_stddev</t>
  </si>
  <si>
    <t>m12_rnn_test_R2_mean</t>
  </si>
  <si>
    <t>m12_rnn_test_R2_stddev</t>
  </si>
  <si>
    <t>m12_rnn_train_nRMSE_mean</t>
  </si>
  <si>
    <t>m12_rnn_train_nRMSE_stddev</t>
  </si>
  <si>
    <t>m12_rnn_test_nRMSE_mean</t>
  </si>
  <si>
    <t>m12_rnn_test_nRMSE_stddev</t>
  </si>
  <si>
    <t>m13_lstm_runtime_ms_mean</t>
  </si>
  <si>
    <t>m13_lstm_runtime_ms_stddev</t>
  </si>
  <si>
    <t>m13_lstm_train_MBE_mean</t>
  </si>
  <si>
    <t>m13_lstm_train_MBE_stddev</t>
  </si>
  <si>
    <t>m13_lstm_train_MAE_mean</t>
  </si>
  <si>
    <t>m13_lstm_train_MAE_stddev</t>
  </si>
  <si>
    <t>m13_lstm_train_RMSE_mean</t>
  </si>
  <si>
    <t>m13_lstm_train_RMSE_stddev</t>
  </si>
  <si>
    <t>m13_lstm_train_MAPE_mean</t>
  </si>
  <si>
    <t>m13_lstm_train_MAPE_stddev</t>
  </si>
  <si>
    <t>m13_lstm_train_MASE_mean</t>
  </si>
  <si>
    <t>m13_lstm_train_MASE_stddev</t>
  </si>
  <si>
    <t>m13_lstm_train_fskill_mean</t>
  </si>
  <si>
    <t>m13_lstm_train_fskill_stddev</t>
  </si>
  <si>
    <t>m13_lstm_train_R2_mean</t>
  </si>
  <si>
    <t>m13_lstm_train_R2_stddev</t>
  </si>
  <si>
    <t>m13_lstm_test_MBE_mean</t>
  </si>
  <si>
    <t>m13_lstm_test_MBE_stddev</t>
  </si>
  <si>
    <t>m13_lstm_test_MAE_mean</t>
  </si>
  <si>
    <t>m13_lstm_test_MAE_stddev</t>
  </si>
  <si>
    <t>m13_lstm_test_RMSE_mean</t>
  </si>
  <si>
    <t>m13_lstm_test_RMSE_stddev</t>
  </si>
  <si>
    <t>m13_lstm_test_MAPE_mean</t>
  </si>
  <si>
    <t>m13_lstm_test_MAPE_stddev</t>
  </si>
  <si>
    <t>m13_lstm_test_MASE_mean</t>
  </si>
  <si>
    <t>m13_lstm_test_MASE_stddev</t>
  </si>
  <si>
    <t>m13_lstm_test_fskill_mean</t>
  </si>
  <si>
    <t>m13_lstm_test_fskill_stddev</t>
  </si>
  <si>
    <t>m13_lstm_test_R2_mean</t>
  </si>
  <si>
    <t>m13_lstm_test_R2_stddev</t>
  </si>
  <si>
    <t>m13_lstm_train_nRMSE_mean</t>
  </si>
  <si>
    <t>m13_lstm_train_nRMSE_stddev</t>
  </si>
  <si>
    <t>m13_lstm_test_nRMSE_mean</t>
  </si>
  <si>
    <t>m13_lstm_test_nRMSE_stddev</t>
  </si>
  <si>
    <t>m14_gru_runtime_ms_mean</t>
  </si>
  <si>
    <t>m14_gru_runtime_ms_stddev</t>
  </si>
  <si>
    <t>m14_gru_train_MBE_mean</t>
  </si>
  <si>
    <t>m14_gru_train_MBE_stddev</t>
  </si>
  <si>
    <t>m14_gru_train_MAE_mean</t>
  </si>
  <si>
    <t>m14_gru_train_MAE_stddev</t>
  </si>
  <si>
    <t>m14_gru_train_RMSE_mean</t>
  </si>
  <si>
    <t>m14_gru_train_RMSE_stddev</t>
  </si>
  <si>
    <t>m14_gru_train_MAPE_mean</t>
  </si>
  <si>
    <t>m14_gru_train_MAPE_stddev</t>
  </si>
  <si>
    <t>m14_gru_train_MASE_mean</t>
  </si>
  <si>
    <t>m14_gru_train_MASE_stddev</t>
  </si>
  <si>
    <t>m14_gru_train_fskill_mean</t>
  </si>
  <si>
    <t>m14_gru_train_fskill_stddev</t>
  </si>
  <si>
    <t>m14_gru_train_R2_mean</t>
  </si>
  <si>
    <t>m14_gru_train_R2_stddev</t>
  </si>
  <si>
    <t>m14_gru_test_MBE_mean</t>
  </si>
  <si>
    <t>m14_gru_test_MBE_stddev</t>
  </si>
  <si>
    <t>m14_gru_test_MAE_mean</t>
  </si>
  <si>
    <t>m14_gru_test_MAE_stddev</t>
  </si>
  <si>
    <t>m14_gru_test_RMSE_mean</t>
  </si>
  <si>
    <t>m14_gru_test_RMSE_stddev</t>
  </si>
  <si>
    <t>m14_gru_test_MAPE_mean</t>
  </si>
  <si>
    <t>m14_gru_test_MAPE_stddev</t>
  </si>
  <si>
    <t>m14_gru_test_MASE_mean</t>
  </si>
  <si>
    <t>m14_gru_test_MASE_stddev</t>
  </si>
  <si>
    <t>m14_gru_test_fskill_mean</t>
  </si>
  <si>
    <t>m14_gru_test_fskill_stddev</t>
  </si>
  <si>
    <t>m14_gru_test_R2_mean</t>
  </si>
  <si>
    <t>m14_gru_test_R2_stddev</t>
  </si>
  <si>
    <t>m14_gru_train_nRMSE_mean</t>
  </si>
  <si>
    <t>m14_gru_train_nRMSE_stddev</t>
  </si>
  <si>
    <t>m14_gru_test_nRMSE_mean</t>
  </si>
  <si>
    <t>m14_gru_test_nRMSE_stddev</t>
  </si>
  <si>
    <t>m15_transformer_runtime_ms_mean</t>
  </si>
  <si>
    <t>m15_transformer_runtime_ms_stddev</t>
  </si>
  <si>
    <t>m15_transformer_train_MBE_mean</t>
  </si>
  <si>
    <t>m15_transformer_train_MBE_stddev</t>
  </si>
  <si>
    <t>m15_transformer_train_MAE_mean</t>
  </si>
  <si>
    <t>m15_transformer_train_MAE_stddev</t>
  </si>
  <si>
    <t>m15_transformer_train_RMSE_mean</t>
  </si>
  <si>
    <t>m15_transformer_train_RMSE_stddev</t>
  </si>
  <si>
    <t>m15_transformer_train_MAPE_mean</t>
  </si>
  <si>
    <t>m15_transformer_train_MAPE_stddev</t>
  </si>
  <si>
    <t>m15_transformer_train_MASE_mean</t>
  </si>
  <si>
    <t>m15_transformer_train_MASE_stddev</t>
  </si>
  <si>
    <t>m15_transformer_train_fskill_mean</t>
  </si>
  <si>
    <t>m15_transformer_train_fskill_stddev</t>
  </si>
  <si>
    <t>m15_transformer_train_R2_mean</t>
  </si>
  <si>
    <t>m15_transformer_train_R2_stddev</t>
  </si>
  <si>
    <t>m15_transformer_test_MBE_mean</t>
  </si>
  <si>
    <t>m15_transformer_test_MBE_stddev</t>
  </si>
  <si>
    <t>m15_transformer_test_MAE_mean</t>
  </si>
  <si>
    <t>m15_transformer_test_MAE_stddev</t>
  </si>
  <si>
    <t>m15_transformer_test_RMSE_mean</t>
  </si>
  <si>
    <t>m15_transformer_test_RMSE_stddev</t>
  </si>
  <si>
    <t>m15_transformer_test_MAPE_mean</t>
  </si>
  <si>
    <t>m15_transformer_test_MAPE_stddev</t>
  </si>
  <si>
    <t>m15_transformer_test_MASE_mean</t>
  </si>
  <si>
    <t>m15_transformer_test_MASE_stddev</t>
  </si>
  <si>
    <t>m15_transformer_test_fskill_mean</t>
  </si>
  <si>
    <t>m15_transformer_test_fskill_stddev</t>
  </si>
  <si>
    <t>m15_transformer_test_R2_mean</t>
  </si>
  <si>
    <t>m15_transformer_test_R2_stddev</t>
  </si>
  <si>
    <t>m15_transformer_train_nRMSE_mean</t>
  </si>
  <si>
    <t>m15_transformer_train_nRMSE_stddev</t>
  </si>
  <si>
    <t>m15_transformer_test_nRMSE_mean</t>
  </si>
  <si>
    <t>m15_transformer_test_nRMSE_stddev</t>
  </si>
  <si>
    <t>m16_prophet_runtime_ms_mean</t>
  </si>
  <si>
    <t>m16_prophet_runtime_ms_stddev</t>
  </si>
  <si>
    <t>m16_prophet_train_MBE_mean</t>
  </si>
  <si>
    <t>m16_prophet_train_MBE_stddev</t>
  </si>
  <si>
    <t>m16_prophet_train_MAE_mean</t>
  </si>
  <si>
    <t>m16_prophet_train_MAE_stddev</t>
  </si>
  <si>
    <t>m16_prophet_train_RMSE_mean</t>
  </si>
  <si>
    <t>m16_prophet_train_RMSE_stddev</t>
  </si>
  <si>
    <t>m16_prophet_train_MAPE_mean</t>
  </si>
  <si>
    <t>m16_prophet_train_MAPE_stddev</t>
  </si>
  <si>
    <t>m16_prophet_train_MASE_mean</t>
  </si>
  <si>
    <t>m16_prophet_train_MASE_stddev</t>
  </si>
  <si>
    <t>m16_prophet_train_fskill_mean</t>
  </si>
  <si>
    <t>m16_prophet_train_fskill_stddev</t>
  </si>
  <si>
    <t>m16_prophet_train_R2_mean</t>
  </si>
  <si>
    <t>m16_prophet_train_R2_stddev</t>
  </si>
  <si>
    <t>m16_prophet_test_MBE_mean</t>
  </si>
  <si>
    <t>m16_prophet_test_MBE_stddev</t>
  </si>
  <si>
    <t>m16_prophet_test_MAE_mean</t>
  </si>
  <si>
    <t>m16_prophet_test_MAE_stddev</t>
  </si>
  <si>
    <t>m16_prophet_test_RMSE_mean</t>
  </si>
  <si>
    <t>m16_prophet_test_RMSE_stddev</t>
  </si>
  <si>
    <t>m16_prophet_test_MAPE_mean</t>
  </si>
  <si>
    <t>m16_prophet_test_MAPE_stddev</t>
  </si>
  <si>
    <t>m16_prophet_test_MASE_mean</t>
  </si>
  <si>
    <t>m16_prophet_test_MASE_stddev</t>
  </si>
  <si>
    <t>m16_prophet_test_fskill_mean</t>
  </si>
  <si>
    <t>m16_prophet_test_fskill_stddev</t>
  </si>
  <si>
    <t>m16_prophet_test_R2_mean</t>
  </si>
  <si>
    <t>m16_prophet_test_R2_stddev</t>
  </si>
  <si>
    <t>m16_prophet_train_nRMSE_mean</t>
  </si>
  <si>
    <t>m16_prophet_train_nRMSE_stddev</t>
  </si>
  <si>
    <t>m16_prophet_test_nRMSE_mean</t>
  </si>
  <si>
    <t>m16_prophet_test_nRMSE_stddev</t>
  </si>
  <si>
    <t>m17_xgb_runtime_ms_mean</t>
  </si>
  <si>
    <t>m17_xgb_runtime_ms_stddev</t>
  </si>
  <si>
    <t>m17_xgb_train_MBE_mean</t>
  </si>
  <si>
    <t>m17_xgb_train_MBE_stddev</t>
  </si>
  <si>
    <t>m17_xgb_train_MAE_mean</t>
  </si>
  <si>
    <t>m17_xgb_train_MAE_stddev</t>
  </si>
  <si>
    <t>m17_xgb_train_RMSE_mean</t>
  </si>
  <si>
    <t>m17_xgb_train_RMSE_stddev</t>
  </si>
  <si>
    <t>m17_xgb_train_MAPE_mean</t>
  </si>
  <si>
    <t>m17_xgb_train_MAPE_stddev</t>
  </si>
  <si>
    <t>m17_xgb_train_MASE_mean</t>
  </si>
  <si>
    <t>m17_xgb_train_MASE_stddev</t>
  </si>
  <si>
    <t>m17_xgb_train_fskill_mean</t>
  </si>
  <si>
    <t>m17_xgb_train_fskill_stddev</t>
  </si>
  <si>
    <t>m17_xgb_train_R2_mean</t>
  </si>
  <si>
    <t>m17_xgb_train_R2_stddev</t>
  </si>
  <si>
    <t>m17_xgb_test_MBE_mean</t>
  </si>
  <si>
    <t>m17_xgb_test_MBE_stddev</t>
  </si>
  <si>
    <t>m17_xgb_test_MAE_mean</t>
  </si>
  <si>
    <t>m17_xgb_test_MAE_stddev</t>
  </si>
  <si>
    <t>m17_xgb_test_RMSE_mean</t>
  </si>
  <si>
    <t>m17_xgb_test_RMSE_stddev</t>
  </si>
  <si>
    <t>m17_xgb_test_MAPE_mean</t>
  </si>
  <si>
    <t>m17_xgb_test_MAPE_stddev</t>
  </si>
  <si>
    <t>m17_xgb_test_MASE_mean</t>
  </si>
  <si>
    <t>m17_xgb_test_MASE_stddev</t>
  </si>
  <si>
    <t>m17_xgb_test_fskill_mean</t>
  </si>
  <si>
    <t>m17_xgb_test_fskill_stddev</t>
  </si>
  <si>
    <t>m17_xgb_test_R2_mean</t>
  </si>
  <si>
    <t>m17_xgb_test_R2_stddev</t>
  </si>
  <si>
    <t>m17_xgb_train_nRMSE_mean</t>
  </si>
  <si>
    <t>m17_xgb_train_nRMSE_stddev</t>
  </si>
  <si>
    <t>m17_xgb_test_nRMSE_mean</t>
  </si>
  <si>
    <t>m17_xgb_test_nRMSE_stddev</t>
  </si>
  <si>
    <t>m18_nbeats_runtime_ms_mean</t>
  </si>
  <si>
    <t>m18_nbeats_runtime_ms_stddev</t>
  </si>
  <si>
    <t>m18_nbeats_train_MBE_mean</t>
  </si>
  <si>
    <t>m18_nbeats_train_MBE_stddev</t>
  </si>
  <si>
    <t>m18_nbeats_train_MAE_mean</t>
  </si>
  <si>
    <t>m18_nbeats_train_MAE_stddev</t>
  </si>
  <si>
    <t>m18_nbeats_train_RMSE_mean</t>
  </si>
  <si>
    <t>m18_nbeats_train_RMSE_stddev</t>
  </si>
  <si>
    <t>m18_nbeats_train_MAPE_mean</t>
  </si>
  <si>
    <t>m18_nbeats_train_MAPE_stddev</t>
  </si>
  <si>
    <t>m18_nbeats_train_MASE_mean</t>
  </si>
  <si>
    <t>m18_nbeats_train_MASE_stddev</t>
  </si>
  <si>
    <t>m18_nbeats_train_fskill_mean</t>
  </si>
  <si>
    <t>m18_nbeats_train_fskill_stddev</t>
  </si>
  <si>
    <t>m18_nbeats_train_R2_mean</t>
  </si>
  <si>
    <t>m18_nbeats_train_R2_stddev</t>
  </si>
  <si>
    <t>m18_nbeats_test_MBE_mean</t>
  </si>
  <si>
    <t>m18_nbeats_test_MBE_stddev</t>
  </si>
  <si>
    <t>m18_nbeats_test_MAE_mean</t>
  </si>
  <si>
    <t>m18_nbeats_test_MAE_stddev</t>
  </si>
  <si>
    <t>m18_nbeats_test_RMSE_mean</t>
  </si>
  <si>
    <t>m18_nbeats_test_RMSE_stddev</t>
  </si>
  <si>
    <t>m18_nbeats_test_MAPE_mean</t>
  </si>
  <si>
    <t>m18_nbeats_test_MAPE_stddev</t>
  </si>
  <si>
    <t>m18_nbeats_test_MASE_mean</t>
  </si>
  <si>
    <t>m18_nbeats_test_MASE_stddev</t>
  </si>
  <si>
    <t>m18_nbeats_test_fskill_mean</t>
  </si>
  <si>
    <t>m18_nbeats_test_fskill_stddev</t>
  </si>
  <si>
    <t>m18_nbeats_test_R2_mean</t>
  </si>
  <si>
    <t>m18_nbeats_test_R2_stddev</t>
  </si>
  <si>
    <t>m18_nbeats_train_nRMSE_mean</t>
  </si>
  <si>
    <t>m18_nbeats_train_nRMSE_stddev</t>
  </si>
  <si>
    <t>m18_nbeats_test_nRMSE_mean</t>
  </si>
  <si>
    <t>m18_nbeats_test_nRMSE_stddev</t>
  </si>
  <si>
    <t>value, benchmark 1</t>
  </si>
  <si>
    <t>value, benchmark 2</t>
  </si>
  <si>
    <t>value, benchmark 3</t>
  </si>
  <si>
    <t>Benchmark</t>
  </si>
  <si>
    <t>Processor</t>
  </si>
  <si>
    <t>RAM</t>
  </si>
  <si>
    <t>Description</t>
  </si>
  <si>
    <t>Benchmark 1</t>
  </si>
  <si>
    <t>Benchmark 2</t>
  </si>
  <si>
    <t>Benchmark 3</t>
  </si>
  <si>
    <t>Samhan's UNSW Laptop</t>
  </si>
  <si>
    <t>CEEM UNSW Computer</t>
  </si>
  <si>
    <t>Samhan's Personal Laptop</t>
  </si>
  <si>
    <t>Model Name</t>
  </si>
  <si>
    <t>13th Gen Intel® Core™ i5-1350P (16 CPUs) 1.9GHz</t>
  </si>
  <si>
    <t>32GB</t>
  </si>
  <si>
    <t>Dell Precision 3480</t>
  </si>
  <si>
    <t>Intel(R) Xeon(R) W-2175 CPU @2.50GHz (28 CPUs)</t>
  </si>
  <si>
    <t>64GB</t>
  </si>
  <si>
    <t>Dell Precision 5820 Tower</t>
  </si>
  <si>
    <t>Intel® Core™ i7-8550U CPU @1.80GHz (8 CPUs)</t>
  </si>
  <si>
    <t>16GB</t>
  </si>
  <si>
    <t>Lenovo Thinkpad T480s</t>
  </si>
  <si>
    <t>value, benchmark avg</t>
  </si>
  <si>
    <t>value, benchmark stddev</t>
  </si>
  <si>
    <t>min acceptable value</t>
  </si>
  <si>
    <t>max acceptable value</t>
  </si>
  <si>
    <t>for all other variables, acceptable value is 3stddev from the mean of 3 benchmarks</t>
  </si>
  <si>
    <t>for runtime_ms_mean and runtime_ms_stddev, acceptable value is any positive value</t>
  </si>
  <si>
    <t>Unnamed: 0</t>
  </si>
  <si>
    <t>Benchmark 4</t>
  </si>
  <si>
    <t>Samhan's UNSW Laptop, Second Trial</t>
  </si>
  <si>
    <t>value, benchmark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</si>
</sst>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1B165-0203-46C1-BC92-4CE6622BB544}" name="Table1" displayName="Table1" ref="A1:I613" totalsRowShown="0">
  <autoFilter ref="A1:I613" xr:uid="{CCF1B165-0203-46C1-BC92-4CE6622BB544}"/>
  <tableColumns count="9">
    <tableColumn id="1" xr3:uid="{E803F036-999A-43A0-86CF-E6A7B60EF4EB}" name="Unnamed: 0"/>
    <tableColumn id="2" xr3:uid="{2A00F44D-E51E-4CEC-AAF6-4B28E3E9B856}" name="value, benchmark 1" dataDxfId="7"/>
    <tableColumn id="3" xr3:uid="{42B3F80D-9D12-4F21-8C26-40BE1DEBA81C}" name="value, benchmark 2" dataDxfId="6"/>
    <tableColumn id="4" xr3:uid="{52F868FB-9989-4F10-9162-4DCFED82A7C1}" name="value, benchmark 3" dataDxfId="5"/>
    <tableColumn id="9" xr3:uid="{03A69A73-19B4-4460-8B70-EF1578331419}" name="value, benchmark 4" dataDxfId="0"/>
    <tableColumn id="5" xr3:uid="{455D6A9B-E0F5-4782-9FC9-2AAA2DF81767}" name="value, benchmark avg" dataDxfId="4">
      <calculatedColumnFormula>AVERAGE(B2:E2)</calculatedColumnFormula>
    </tableColumn>
    <tableColumn id="6" xr3:uid="{0B66586D-7EBD-4A62-8970-21980662EC41}" name="value, benchmark stddev" dataDxfId="3">
      <calculatedColumnFormula>_xlfn.STDEV.S(B2:E2)</calculatedColumnFormula>
    </tableColumn>
    <tableColumn id="7" xr3:uid="{59DC2486-2AA0-46ED-9106-02C89CF29CD6}" name="min acceptable value" dataDxfId="2">
      <calculatedColumnFormula>F2-3*G2</calculatedColumnFormula>
    </tableColumn>
    <tableColumn id="8" xr3:uid="{7C75A3E8-C223-4C06-8200-04BA011CFD33}" name="max acceptable value" dataDxfId="1">
      <calculatedColumnFormula>F2+3*G2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2B4BB9-F672-41B1-AFF0-5B8C53460B7E}" name="Table2" displayName="Table2" ref="A1:E5" totalsRowShown="0">
  <autoFilter ref="A1:E5" xr:uid="{212B4BB9-F672-41B1-AFF0-5B8C53460B7E}"/>
  <tableColumns count="5">
    <tableColumn id="1" xr3:uid="{61716316-010D-4018-88FB-E9B3AD2F34A2}" name="Benchmark"/>
    <tableColumn id="2" xr3:uid="{583D3449-1715-42B0-8249-1A514E7A46DF}" name="Description"/>
    <tableColumn id="3" xr3:uid="{4BFA9717-C6FE-4457-B6D5-0C244DEA06CA}" name="Processor"/>
    <tableColumn id="4" xr3:uid="{343093D0-75B2-46CF-9B9A-B485B2E8379B}" name="RAM"/>
    <tableColumn id="5" xr3:uid="{C9328962-43AA-4377-93E3-D9C99F03B231}" name="Mode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2721-E234-4BE2-A11E-EE836C565556}">
  <dimension ref="A1:I613"/>
  <sheetViews>
    <sheetView tabSelected="1" workbookViewId="0"/>
  </sheetViews>
  <sheetFormatPr defaultRowHeight="14.35" x14ac:dyDescent="0.5"/>
  <cols>
    <col min="1" max="1" width="31.29296875" bestFit="1" customWidth="1"/>
    <col min="2" max="2" width="19.52734375" customWidth="1"/>
    <col min="3" max="4" width="18.17578125" customWidth="1"/>
    <col min="5" max="5" width="19.87890625" customWidth="1"/>
    <col min="6" max="6" width="22.5859375" customWidth="1"/>
    <col min="7" max="7" width="19.5859375" customWidth="1"/>
    <col min="8" max="8" width="19.9375" customWidth="1"/>
    <col min="9" max="9" width="20.46875" bestFit="1" customWidth="1"/>
  </cols>
  <sheetData>
    <row r="1" spans="1:9" x14ac:dyDescent="0.5">
      <c r="A1" t="s">
        <v>641</v>
      </c>
      <c r="B1" t="s">
        <v>612</v>
      </c>
      <c r="C1" t="s">
        <v>613</v>
      </c>
      <c r="D1" t="s">
        <v>614</v>
      </c>
      <c r="E1" t="s">
        <v>644</v>
      </c>
      <c r="F1" t="s">
        <v>635</v>
      </c>
      <c r="G1" t="s">
        <v>636</v>
      </c>
      <c r="H1" t="s">
        <v>637</v>
      </c>
      <c r="I1" t="s">
        <v>638</v>
      </c>
    </row>
    <row r="2" spans="1:9" x14ac:dyDescent="0.5">
      <c r="A2" t="s">
        <v>0</v>
      </c>
      <c r="B2" s="1">
        <v>1.7033815379999999</v>
      </c>
      <c r="C2" s="1">
        <v>1.98113918304443</v>
      </c>
      <c r="D2" s="1">
        <v>1.6802787780761701</v>
      </c>
      <c r="E2" s="1">
        <v>1.75490379333496</v>
      </c>
      <c r="F2" s="1">
        <f>AVERAGE(B2:E2)</f>
        <v>1.7799258231138901</v>
      </c>
      <c r="G2" s="1">
        <f>_xlfn.STDEV.S(B2:E2)</f>
        <v>0.13772131202436871</v>
      </c>
      <c r="H2" s="1">
        <v>0</v>
      </c>
      <c r="I2" s="1">
        <v>100000000</v>
      </c>
    </row>
    <row r="3" spans="1:9" x14ac:dyDescent="0.5">
      <c r="A3" t="s">
        <v>1</v>
      </c>
      <c r="B3" s="1">
        <v>3.138867828</v>
      </c>
      <c r="C3" s="1">
        <v>4.9517745373031703</v>
      </c>
      <c r="D3" s="1">
        <v>4.7224969455982198</v>
      </c>
      <c r="E3" s="1">
        <v>0.92096030358459002</v>
      </c>
      <c r="F3" s="1">
        <f t="shared" ref="F3:F66" si="0">AVERAGE(B3:E3)</f>
        <v>3.4335249036214948</v>
      </c>
      <c r="G3" s="1">
        <f t="shared" ref="G3:G66" si="1">_xlfn.STDEV.S(B3:E3)</f>
        <v>1.8588826874177775</v>
      </c>
      <c r="H3" s="1">
        <v>0</v>
      </c>
      <c r="I3" s="1">
        <v>100000000</v>
      </c>
    </row>
    <row r="4" spans="1:9" x14ac:dyDescent="0.5">
      <c r="A4" t="s">
        <v>2</v>
      </c>
      <c r="B4" s="1">
        <v>1.7430999999999999E-2</v>
      </c>
      <c r="C4" s="1">
        <v>1.7430999999999999E-2</v>
      </c>
      <c r="D4" s="1">
        <v>1.7430999999999999E-2</v>
      </c>
      <c r="E4" s="1">
        <v>1.7430999999999999E-2</v>
      </c>
      <c r="F4" s="1">
        <f t="shared" si="0"/>
        <v>1.7430999999999999E-2</v>
      </c>
      <c r="G4" s="1">
        <f t="shared" si="1"/>
        <v>0</v>
      </c>
      <c r="H4" s="1">
        <f t="shared" ref="H4:H66" si="2">F4-3*G4</f>
        <v>1.7430999999999999E-2</v>
      </c>
      <c r="I4" s="1">
        <f t="shared" ref="I4:I66" si="3">F4+3*G4</f>
        <v>1.7430999999999999E-2</v>
      </c>
    </row>
    <row r="5" spans="1:9" x14ac:dyDescent="0.5">
      <c r="A5" t="s">
        <v>3</v>
      </c>
      <c r="B5" s="1">
        <v>1.3661965E-2</v>
      </c>
      <c r="C5" s="1">
        <v>1.3661965410909501E-2</v>
      </c>
      <c r="D5" s="1">
        <v>1.3661965410909501E-2</v>
      </c>
      <c r="E5" s="1">
        <v>1.3661965410909501E-2</v>
      </c>
      <c r="F5" s="1">
        <f t="shared" si="0"/>
        <v>1.3661965308182126E-2</v>
      </c>
      <c r="G5" s="1">
        <f t="shared" si="1"/>
        <v>2.0545475043487471E-10</v>
      </c>
      <c r="H5" s="1">
        <f t="shared" si="2"/>
        <v>1.3661964691817874E-2</v>
      </c>
      <c r="I5" s="1">
        <f t="shared" si="3"/>
        <v>1.3661965924546377E-2</v>
      </c>
    </row>
    <row r="6" spans="1:9" x14ac:dyDescent="0.5">
      <c r="A6" t="s">
        <v>4</v>
      </c>
      <c r="B6" s="1">
        <v>28.643999999999998</v>
      </c>
      <c r="C6" s="1">
        <v>28.643999999999998</v>
      </c>
      <c r="D6" s="1">
        <v>28.643999999999998</v>
      </c>
      <c r="E6" s="1">
        <v>28.643999999999998</v>
      </c>
      <c r="F6" s="1">
        <f t="shared" si="0"/>
        <v>28.643999999999998</v>
      </c>
      <c r="G6" s="1">
        <f t="shared" si="1"/>
        <v>0</v>
      </c>
      <c r="H6" s="1">
        <f t="shared" si="2"/>
        <v>28.643999999999998</v>
      </c>
      <c r="I6" s="1">
        <f t="shared" si="3"/>
        <v>28.643999999999998</v>
      </c>
    </row>
    <row r="7" spans="1:9" x14ac:dyDescent="0.5">
      <c r="A7" t="s">
        <v>5</v>
      </c>
      <c r="B7" s="1">
        <v>0.33904145899999999</v>
      </c>
      <c r="C7" s="1">
        <v>0.33904145928058899</v>
      </c>
      <c r="D7" s="1">
        <v>0.33904145928058899</v>
      </c>
      <c r="E7" s="1">
        <v>0.33904145928058899</v>
      </c>
      <c r="F7" s="1">
        <f t="shared" si="0"/>
        <v>0.33904145921044176</v>
      </c>
      <c r="G7" s="1">
        <f t="shared" si="1"/>
        <v>1.4029449824093741E-10</v>
      </c>
      <c r="H7" s="1">
        <f t="shared" si="2"/>
        <v>0.33904145878955827</v>
      </c>
      <c r="I7" s="1">
        <f t="shared" si="3"/>
        <v>0.33904145963132526</v>
      </c>
    </row>
    <row r="8" spans="1:9" x14ac:dyDescent="0.5">
      <c r="A8" t="s">
        <v>6</v>
      </c>
      <c r="B8" s="1">
        <v>38.103700000000003</v>
      </c>
      <c r="C8" s="1">
        <v>38.103700000000003</v>
      </c>
      <c r="D8" s="1">
        <v>38.103700000000003</v>
      </c>
      <c r="E8" s="1">
        <v>38.103700000000003</v>
      </c>
      <c r="F8" s="1">
        <f t="shared" si="0"/>
        <v>38.103700000000003</v>
      </c>
      <c r="G8" s="1">
        <f t="shared" si="1"/>
        <v>0</v>
      </c>
      <c r="H8" s="1">
        <f t="shared" si="2"/>
        <v>38.103700000000003</v>
      </c>
      <c r="I8" s="1">
        <f t="shared" si="3"/>
        <v>38.103700000000003</v>
      </c>
    </row>
    <row r="9" spans="1:9" x14ac:dyDescent="0.5">
      <c r="A9" t="s">
        <v>7</v>
      </c>
      <c r="B9" s="1">
        <v>0.44070222999999997</v>
      </c>
      <c r="C9" s="1">
        <v>0.44070223003242798</v>
      </c>
      <c r="D9" s="1">
        <v>0.44070223003242798</v>
      </c>
      <c r="E9" s="1">
        <v>0.44070223003242798</v>
      </c>
      <c r="F9" s="1">
        <f t="shared" si="0"/>
        <v>0.44070223002432096</v>
      </c>
      <c r="G9" s="1">
        <f t="shared" si="1"/>
        <v>1.6214002362965478E-11</v>
      </c>
      <c r="H9" s="1">
        <f t="shared" si="2"/>
        <v>0.44070222997567898</v>
      </c>
      <c r="I9" s="1">
        <f t="shared" si="3"/>
        <v>0.44070223007296294</v>
      </c>
    </row>
    <row r="10" spans="1:9" x14ac:dyDescent="0.5">
      <c r="A10" t="s">
        <v>8</v>
      </c>
      <c r="B10" s="1">
        <v>71.652199999999993</v>
      </c>
      <c r="C10" s="1">
        <v>71.652199999999993</v>
      </c>
      <c r="D10" s="1">
        <v>71.652199999999993</v>
      </c>
      <c r="E10" s="1">
        <v>71.652199999999993</v>
      </c>
      <c r="F10" s="1">
        <f t="shared" si="0"/>
        <v>71.652199999999993</v>
      </c>
      <c r="G10" s="1">
        <f t="shared" si="1"/>
        <v>0</v>
      </c>
      <c r="H10" s="1">
        <f t="shared" si="2"/>
        <v>71.652199999999993</v>
      </c>
      <c r="I10" s="1">
        <f t="shared" si="3"/>
        <v>71.652199999999993</v>
      </c>
    </row>
    <row r="11" spans="1:9" x14ac:dyDescent="0.5">
      <c r="A11" t="s">
        <v>9</v>
      </c>
      <c r="B11" s="1">
        <v>8.8605812430000004</v>
      </c>
      <c r="C11" s="1">
        <v>8.86058124253457</v>
      </c>
      <c r="D11" s="1">
        <v>8.86058124253457</v>
      </c>
      <c r="E11" s="1">
        <v>8.86058124253457</v>
      </c>
      <c r="F11" s="1">
        <f t="shared" si="0"/>
        <v>8.8605812426509285</v>
      </c>
      <c r="G11" s="1">
        <f t="shared" si="1"/>
        <v>2.327151804615685E-10</v>
      </c>
      <c r="H11" s="1">
        <f t="shared" si="2"/>
        <v>8.860581241952783</v>
      </c>
      <c r="I11" s="1">
        <f t="shared" si="3"/>
        <v>8.860581243349074</v>
      </c>
    </row>
    <row r="12" spans="1:9" x14ac:dyDescent="0.5">
      <c r="A12" t="s">
        <v>10</v>
      </c>
      <c r="B12" s="1">
        <v>1</v>
      </c>
      <c r="C12" s="1">
        <v>1</v>
      </c>
      <c r="D12" s="1">
        <v>1</v>
      </c>
      <c r="E12" s="1">
        <v>1</v>
      </c>
      <c r="F12" s="1">
        <f t="shared" si="0"/>
        <v>1</v>
      </c>
      <c r="G12" s="1">
        <f t="shared" si="1"/>
        <v>0</v>
      </c>
      <c r="H12" s="1">
        <f t="shared" si="2"/>
        <v>1</v>
      </c>
      <c r="I12" s="1">
        <f t="shared" si="3"/>
        <v>1</v>
      </c>
    </row>
    <row r="13" spans="1:9" x14ac:dyDescent="0.5">
      <c r="A13" t="s">
        <v>11</v>
      </c>
      <c r="B13" s="1">
        <v>0</v>
      </c>
      <c r="C13" s="1">
        <v>0</v>
      </c>
      <c r="D13" s="1">
        <v>0</v>
      </c>
      <c r="E13" s="1">
        <v>0</v>
      </c>
      <c r="F13" s="1">
        <f t="shared" si="0"/>
        <v>0</v>
      </c>
      <c r="G13" s="1">
        <f t="shared" si="1"/>
        <v>0</v>
      </c>
      <c r="H13" s="1">
        <f t="shared" si="2"/>
        <v>0</v>
      </c>
      <c r="I13" s="1">
        <f t="shared" si="3"/>
        <v>0</v>
      </c>
    </row>
    <row r="14" spans="1:9" x14ac:dyDescent="0.5">
      <c r="A14" t="s">
        <v>12</v>
      </c>
      <c r="B14" s="1">
        <v>0</v>
      </c>
      <c r="C14" s="1">
        <v>0</v>
      </c>
      <c r="D14" s="1">
        <v>0</v>
      </c>
      <c r="E14" s="1">
        <v>0</v>
      </c>
      <c r="F14" s="1">
        <f t="shared" si="0"/>
        <v>0</v>
      </c>
      <c r="G14" s="1">
        <f t="shared" si="1"/>
        <v>0</v>
      </c>
      <c r="H14" s="1">
        <f t="shared" si="2"/>
        <v>0</v>
      </c>
      <c r="I14" s="1">
        <f t="shared" si="3"/>
        <v>0</v>
      </c>
    </row>
    <row r="15" spans="1:9" x14ac:dyDescent="0.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f t="shared" si="0"/>
        <v>0</v>
      </c>
      <c r="G15" s="1">
        <f t="shared" si="1"/>
        <v>0</v>
      </c>
      <c r="H15" s="1">
        <f t="shared" si="2"/>
        <v>0</v>
      </c>
      <c r="I15" s="1">
        <f t="shared" si="3"/>
        <v>0</v>
      </c>
    </row>
    <row r="16" spans="1:9" x14ac:dyDescent="0.5">
      <c r="A16" t="s">
        <v>14</v>
      </c>
      <c r="B16" s="1">
        <v>0.94189999999999996</v>
      </c>
      <c r="C16" s="1">
        <v>0.94189999999999896</v>
      </c>
      <c r="D16" s="1">
        <v>0.94189999999999896</v>
      </c>
      <c r="E16" s="1">
        <v>0.94189999999999896</v>
      </c>
      <c r="F16" s="1">
        <f t="shared" si="0"/>
        <v>0.94189999999999929</v>
      </c>
      <c r="G16" s="1">
        <f t="shared" si="1"/>
        <v>5.0876810486276012E-16</v>
      </c>
      <c r="H16" s="1">
        <f t="shared" si="2"/>
        <v>0.94189999999999774</v>
      </c>
      <c r="I16" s="1">
        <f t="shared" si="3"/>
        <v>0.94190000000000085</v>
      </c>
    </row>
    <row r="17" spans="1:9" x14ac:dyDescent="0.5">
      <c r="A17" t="s">
        <v>15</v>
      </c>
      <c r="B17" s="1">
        <v>7.3786499999999998E-4</v>
      </c>
      <c r="C17" s="1">
        <v>7.3786478737260003E-4</v>
      </c>
      <c r="D17" s="1">
        <v>7.3786478737260003E-4</v>
      </c>
      <c r="E17" s="1">
        <v>7.3786478737260003E-4</v>
      </c>
      <c r="F17" s="1">
        <f t="shared" si="0"/>
        <v>7.3786484052945005E-4</v>
      </c>
      <c r="G17" s="1">
        <f t="shared" si="1"/>
        <v>1.0631369997673654E-10</v>
      </c>
      <c r="H17" s="1">
        <f t="shared" si="2"/>
        <v>7.3786452158835017E-4</v>
      </c>
      <c r="I17" s="1">
        <f t="shared" si="3"/>
        <v>7.3786515947054992E-4</v>
      </c>
    </row>
    <row r="18" spans="1:9" x14ac:dyDescent="0.5">
      <c r="A18" t="s">
        <v>16</v>
      </c>
      <c r="B18" s="1">
        <v>1.7365999999999999E-2</v>
      </c>
      <c r="C18" s="1">
        <v>1.7365999999999999E-2</v>
      </c>
      <c r="D18" s="1">
        <v>1.7365999999999999E-2</v>
      </c>
      <c r="E18" s="1">
        <v>1.7365999999999999E-2</v>
      </c>
      <c r="F18" s="1">
        <f t="shared" si="0"/>
        <v>1.7365999999999999E-2</v>
      </c>
      <c r="G18" s="1">
        <f t="shared" si="1"/>
        <v>0</v>
      </c>
      <c r="H18" s="1">
        <f t="shared" si="2"/>
        <v>1.7365999999999999E-2</v>
      </c>
      <c r="I18" s="1">
        <f t="shared" si="3"/>
        <v>1.7365999999999999E-2</v>
      </c>
    </row>
    <row r="19" spans="1:9" x14ac:dyDescent="0.5">
      <c r="A19" t="s">
        <v>17</v>
      </c>
      <c r="B19" s="1">
        <v>0.122894116</v>
      </c>
      <c r="C19" s="1">
        <v>0.12289411641282399</v>
      </c>
      <c r="D19" s="1">
        <v>0.12289411641282399</v>
      </c>
      <c r="E19" s="1">
        <v>0.12289411641282399</v>
      </c>
      <c r="F19" s="1">
        <f t="shared" si="0"/>
        <v>0.122894116309618</v>
      </c>
      <c r="G19" s="1">
        <f t="shared" si="1"/>
        <v>2.0641199860449433E-10</v>
      </c>
      <c r="H19" s="1">
        <f t="shared" si="2"/>
        <v>0.122894115690382</v>
      </c>
      <c r="I19" s="1">
        <f t="shared" si="3"/>
        <v>0.12289411692885399</v>
      </c>
    </row>
    <row r="20" spans="1:9" x14ac:dyDescent="0.5">
      <c r="A20" t="s">
        <v>18</v>
      </c>
      <c r="B20" s="1">
        <v>28.641500000000001</v>
      </c>
      <c r="C20" s="1">
        <v>28.641500000000001</v>
      </c>
      <c r="D20" s="1">
        <v>28.641500000000001</v>
      </c>
      <c r="E20" s="1">
        <v>28.641500000000001</v>
      </c>
      <c r="F20" s="1">
        <f t="shared" si="0"/>
        <v>28.641500000000001</v>
      </c>
      <c r="G20" s="1">
        <f t="shared" si="1"/>
        <v>0</v>
      </c>
      <c r="H20" s="1">
        <f t="shared" si="2"/>
        <v>28.641500000000001</v>
      </c>
      <c r="I20" s="1">
        <f t="shared" si="3"/>
        <v>28.641500000000001</v>
      </c>
    </row>
    <row r="21" spans="1:9" x14ac:dyDescent="0.5">
      <c r="A21" t="s">
        <v>19</v>
      </c>
      <c r="B21" s="1">
        <v>3.0506737419999999</v>
      </c>
      <c r="C21" s="1">
        <v>3.0506737416147498</v>
      </c>
      <c r="D21" s="1">
        <v>3.0506737416147498</v>
      </c>
      <c r="E21" s="1">
        <v>3.0506737416147498</v>
      </c>
      <c r="F21" s="1">
        <f t="shared" si="0"/>
        <v>3.0506737417110625</v>
      </c>
      <c r="G21" s="1">
        <f t="shared" si="1"/>
        <v>1.9262502704026484E-10</v>
      </c>
      <c r="H21" s="1">
        <f t="shared" si="2"/>
        <v>3.0506737411331875</v>
      </c>
      <c r="I21" s="1">
        <f t="shared" si="3"/>
        <v>3.0506737422889376</v>
      </c>
    </row>
    <row r="22" spans="1:9" x14ac:dyDescent="0.5">
      <c r="A22" t="s">
        <v>20</v>
      </c>
      <c r="B22" s="1">
        <v>37.909300000000002</v>
      </c>
      <c r="C22" s="1">
        <v>37.909300000000002</v>
      </c>
      <c r="D22" s="1">
        <v>37.909300000000002</v>
      </c>
      <c r="E22" s="1">
        <v>37.909300000000002</v>
      </c>
      <c r="F22" s="1">
        <f t="shared" si="0"/>
        <v>37.909300000000002</v>
      </c>
      <c r="G22" s="1">
        <f t="shared" si="1"/>
        <v>0</v>
      </c>
      <c r="H22" s="1">
        <f t="shared" si="2"/>
        <v>37.909300000000002</v>
      </c>
      <c r="I22" s="1">
        <f t="shared" si="3"/>
        <v>37.909300000000002</v>
      </c>
    </row>
    <row r="23" spans="1:9" x14ac:dyDescent="0.5">
      <c r="A23" t="s">
        <v>21</v>
      </c>
      <c r="B23" s="1">
        <v>4.0441325140000002</v>
      </c>
      <c r="C23" s="1">
        <v>4.0441325137647102</v>
      </c>
      <c r="D23" s="1">
        <v>4.0441325137647102</v>
      </c>
      <c r="E23" s="1">
        <v>4.0441325137647102</v>
      </c>
      <c r="F23" s="1">
        <f t="shared" si="0"/>
        <v>4.0441325138235324</v>
      </c>
      <c r="G23" s="1">
        <f t="shared" si="1"/>
        <v>1.1764500484928902E-10</v>
      </c>
      <c r="H23" s="1">
        <f t="shared" si="2"/>
        <v>4.044132513470597</v>
      </c>
      <c r="I23" s="1">
        <f t="shared" si="3"/>
        <v>4.0441325141764679</v>
      </c>
    </row>
    <row r="24" spans="1:9" x14ac:dyDescent="0.5">
      <c r="A24" t="s">
        <v>22</v>
      </c>
      <c r="B24" s="1">
        <v>71.6464</v>
      </c>
      <c r="C24" s="1">
        <v>71.6463999999999</v>
      </c>
      <c r="D24" s="1">
        <v>71.6463999999999</v>
      </c>
      <c r="E24" s="1">
        <v>71.6463999999999</v>
      </c>
      <c r="F24" s="1">
        <f t="shared" si="0"/>
        <v>71.646399999999929</v>
      </c>
      <c r="G24" s="1">
        <f t="shared" si="1"/>
        <v>4.9906881603821014E-14</v>
      </c>
      <c r="H24" s="1">
        <f t="shared" si="2"/>
        <v>71.646399999999772</v>
      </c>
      <c r="I24" s="1">
        <f t="shared" si="3"/>
        <v>71.646400000000085</v>
      </c>
    </row>
    <row r="25" spans="1:9" x14ac:dyDescent="0.5">
      <c r="A25" t="s">
        <v>23</v>
      </c>
      <c r="B25" s="1">
        <v>79.753597909999996</v>
      </c>
      <c r="C25" s="1">
        <v>79.753597908669704</v>
      </c>
      <c r="D25" s="1">
        <v>79.753597908669704</v>
      </c>
      <c r="E25" s="1">
        <v>79.753597908669704</v>
      </c>
      <c r="F25" s="1">
        <f t="shared" si="0"/>
        <v>79.753597909002266</v>
      </c>
      <c r="G25" s="1">
        <f t="shared" si="1"/>
        <v>6.6514616048624301E-10</v>
      </c>
      <c r="H25" s="1">
        <f t="shared" si="2"/>
        <v>79.753597907006821</v>
      </c>
      <c r="I25" s="1">
        <f t="shared" si="3"/>
        <v>79.753597910997712</v>
      </c>
    </row>
    <row r="26" spans="1:9" x14ac:dyDescent="0.5">
      <c r="A26" t="s">
        <v>24</v>
      </c>
      <c r="B26" s="1">
        <v>1.0012000000000001</v>
      </c>
      <c r="C26" s="1">
        <v>1.0012000000000001</v>
      </c>
      <c r="D26" s="1">
        <v>1.0012000000000001</v>
      </c>
      <c r="E26" s="1">
        <v>1.0012000000000001</v>
      </c>
      <c r="F26" s="1">
        <f t="shared" si="0"/>
        <v>1.0012000000000001</v>
      </c>
      <c r="G26" s="1">
        <f t="shared" si="1"/>
        <v>0</v>
      </c>
      <c r="H26" s="1">
        <f t="shared" si="2"/>
        <v>1.0012000000000001</v>
      </c>
      <c r="I26" s="1">
        <f t="shared" si="3"/>
        <v>1.0012000000000001</v>
      </c>
    </row>
    <row r="27" spans="1:9" x14ac:dyDescent="0.5">
      <c r="A27" t="s">
        <v>25</v>
      </c>
      <c r="B27" s="1">
        <v>0.117835856</v>
      </c>
      <c r="C27" s="1">
        <v>0.117835855701432</v>
      </c>
      <c r="D27" s="1">
        <v>0.117835855701432</v>
      </c>
      <c r="E27" s="1">
        <v>0.117835855701432</v>
      </c>
      <c r="F27" s="1">
        <f t="shared" si="0"/>
        <v>0.117835855776074</v>
      </c>
      <c r="G27" s="1">
        <f t="shared" si="1"/>
        <v>1.4928400182689927E-10</v>
      </c>
      <c r="H27" s="1">
        <f t="shared" si="2"/>
        <v>0.11783585532822199</v>
      </c>
      <c r="I27" s="1">
        <f t="shared" si="3"/>
        <v>0.11783585622392601</v>
      </c>
    </row>
    <row r="28" spans="1:9" x14ac:dyDescent="0.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f t="shared" si="0"/>
        <v>0</v>
      </c>
      <c r="G28" s="1">
        <f t="shared" si="1"/>
        <v>0</v>
      </c>
      <c r="H28" s="1">
        <f t="shared" si="2"/>
        <v>0</v>
      </c>
      <c r="I28" s="1">
        <f t="shared" si="3"/>
        <v>0</v>
      </c>
    </row>
    <row r="29" spans="1:9" x14ac:dyDescent="0.5">
      <c r="A29" t="s">
        <v>27</v>
      </c>
      <c r="B29" s="1">
        <v>0</v>
      </c>
      <c r="C29" s="1">
        <v>0</v>
      </c>
      <c r="D29" s="1">
        <v>0</v>
      </c>
      <c r="E29" s="1">
        <v>0</v>
      </c>
      <c r="F29" s="1">
        <f t="shared" si="0"/>
        <v>0</v>
      </c>
      <c r="G29" s="1">
        <f t="shared" si="1"/>
        <v>0</v>
      </c>
      <c r="H29" s="1">
        <f t="shared" si="2"/>
        <v>0</v>
      </c>
      <c r="I29" s="1">
        <f t="shared" si="3"/>
        <v>0</v>
      </c>
    </row>
    <row r="30" spans="1:9" x14ac:dyDescent="0.5">
      <c r="A30" t="s">
        <v>28</v>
      </c>
      <c r="B30" s="1">
        <v>0.93869999999999998</v>
      </c>
      <c r="C30" s="1">
        <v>0.93869999999999998</v>
      </c>
      <c r="D30" s="1">
        <v>0.93869999999999998</v>
      </c>
      <c r="E30" s="1">
        <v>0.93869999999999998</v>
      </c>
      <c r="F30" s="1">
        <f t="shared" si="0"/>
        <v>0.93869999999999998</v>
      </c>
      <c r="G30" s="1">
        <f t="shared" si="1"/>
        <v>0</v>
      </c>
      <c r="H30" s="1">
        <f t="shared" si="2"/>
        <v>0.93869999999999998</v>
      </c>
      <c r="I30" s="1">
        <f t="shared" si="3"/>
        <v>0.93869999999999998</v>
      </c>
    </row>
    <row r="31" spans="1:9" x14ac:dyDescent="0.5">
      <c r="A31" t="s">
        <v>29</v>
      </c>
      <c r="B31" s="1">
        <v>6.4644330000000003E-3</v>
      </c>
      <c r="C31" s="1">
        <v>6.4644326037857002E-3</v>
      </c>
      <c r="D31" s="1">
        <v>6.4644326037857002E-3</v>
      </c>
      <c r="E31" s="1">
        <v>6.4644326037857002E-3</v>
      </c>
      <c r="F31" s="1">
        <f t="shared" si="0"/>
        <v>6.4644327028392755E-3</v>
      </c>
      <c r="G31" s="1">
        <f t="shared" si="1"/>
        <v>1.9810715004217605E-10</v>
      </c>
      <c r="H31" s="1">
        <f t="shared" si="2"/>
        <v>6.4644321085178258E-3</v>
      </c>
      <c r="I31" s="1">
        <f t="shared" si="3"/>
        <v>6.4644332971607252E-3</v>
      </c>
    </row>
    <row r="32" spans="1:9" x14ac:dyDescent="0.5">
      <c r="A32" t="s">
        <v>30</v>
      </c>
      <c r="B32" s="1">
        <v>6.5566935449999999</v>
      </c>
      <c r="C32" s="1">
        <v>6.55669354477907</v>
      </c>
      <c r="D32" s="1">
        <v>6.55669354477907</v>
      </c>
      <c r="E32" s="1">
        <v>6.55669354477907</v>
      </c>
      <c r="F32" s="1">
        <f t="shared" si="0"/>
        <v>6.5566935448343022</v>
      </c>
      <c r="G32" s="1">
        <f t="shared" si="1"/>
        <v>1.1046497050445138E-10</v>
      </c>
      <c r="H32" s="1">
        <f t="shared" si="2"/>
        <v>6.5566935445029078</v>
      </c>
      <c r="I32" s="1">
        <f t="shared" si="3"/>
        <v>6.5566935451656967</v>
      </c>
    </row>
    <row r="33" spans="1:9" x14ac:dyDescent="0.5">
      <c r="A33" t="s">
        <v>31</v>
      </c>
      <c r="B33" s="1">
        <v>7.5833829000000005E-2</v>
      </c>
      <c r="C33" s="1">
        <v>7.5833828914865606E-2</v>
      </c>
      <c r="D33" s="1">
        <v>7.5833828914865606E-2</v>
      </c>
      <c r="E33" s="1">
        <v>7.5833828914865606E-2</v>
      </c>
      <c r="F33" s="1">
        <f t="shared" si="0"/>
        <v>7.5833828936149206E-2</v>
      </c>
      <c r="G33" s="1">
        <f t="shared" si="1"/>
        <v>4.2567199765031205E-11</v>
      </c>
      <c r="H33" s="1">
        <f t="shared" si="2"/>
        <v>7.5833828808447606E-2</v>
      </c>
      <c r="I33" s="1">
        <f t="shared" si="3"/>
        <v>7.5833829063850805E-2</v>
      </c>
    </row>
    <row r="34" spans="1:9" x14ac:dyDescent="0.5">
      <c r="A34" t="s">
        <v>32</v>
      </c>
      <c r="B34" s="1">
        <v>6.5232421680000003</v>
      </c>
      <c r="C34" s="1">
        <v>6.5232421680071297</v>
      </c>
      <c r="D34" s="1">
        <v>6.5232421680071297</v>
      </c>
      <c r="E34" s="1">
        <v>6.5232421680071297</v>
      </c>
      <c r="F34" s="1">
        <f t="shared" si="0"/>
        <v>6.5232421680053472</v>
      </c>
      <c r="G34" s="1">
        <f t="shared" si="1"/>
        <v>3.5647040966871912E-12</v>
      </c>
      <c r="H34" s="1">
        <f t="shared" si="2"/>
        <v>6.5232421679946526</v>
      </c>
      <c r="I34" s="1">
        <f t="shared" si="3"/>
        <v>6.5232421680160417</v>
      </c>
    </row>
    <row r="35" spans="1:9" x14ac:dyDescent="0.5">
      <c r="A35" t="s">
        <v>33</v>
      </c>
      <c r="B35" s="1">
        <v>0.69589403500000002</v>
      </c>
      <c r="C35" s="1">
        <v>0.69589403515228798</v>
      </c>
      <c r="D35" s="1">
        <v>0.69589403515228798</v>
      </c>
      <c r="E35" s="1">
        <v>0.69589403515228798</v>
      </c>
      <c r="F35" s="1">
        <f t="shared" si="0"/>
        <v>0.69589403511421599</v>
      </c>
      <c r="G35" s="1">
        <f t="shared" si="1"/>
        <v>7.6143980010101586E-11</v>
      </c>
      <c r="H35" s="1">
        <f t="shared" si="2"/>
        <v>0.69589403488578405</v>
      </c>
      <c r="I35" s="1">
        <f t="shared" si="3"/>
        <v>0.69589403534264793</v>
      </c>
    </row>
    <row r="36" spans="1:9" x14ac:dyDescent="0.5">
      <c r="A36" t="s">
        <v>34</v>
      </c>
      <c r="B36" s="1">
        <v>0.69885253899999999</v>
      </c>
      <c r="C36" s="1">
        <v>3.1395673751831001</v>
      </c>
      <c r="D36" s="1">
        <v>1.56691074371337</v>
      </c>
      <c r="E36" s="1">
        <v>1.2724637985229399</v>
      </c>
      <c r="F36" s="1">
        <f t="shared" si="0"/>
        <v>1.6694486141048523</v>
      </c>
      <c r="G36" s="1">
        <f t="shared" si="1"/>
        <v>1.0442568124987608</v>
      </c>
      <c r="H36" s="1">
        <v>0</v>
      </c>
      <c r="I36" s="1">
        <v>100000000</v>
      </c>
    </row>
    <row r="37" spans="1:9" x14ac:dyDescent="0.5">
      <c r="A37" t="s">
        <v>35</v>
      </c>
      <c r="B37" s="1">
        <v>0.95975798899999998</v>
      </c>
      <c r="C37" s="1">
        <v>6.6203781788896103</v>
      </c>
      <c r="D37" s="1">
        <v>4.2962955779424101</v>
      </c>
      <c r="E37" s="1">
        <v>0.41331230408063602</v>
      </c>
      <c r="F37" s="1">
        <f t="shared" si="0"/>
        <v>3.072436012478164</v>
      </c>
      <c r="G37" s="1">
        <f t="shared" si="1"/>
        <v>2.9223320128297146</v>
      </c>
      <c r="H37" s="1">
        <v>0</v>
      </c>
      <c r="I37" s="1">
        <v>100000000</v>
      </c>
    </row>
    <row r="38" spans="1:9" x14ac:dyDescent="0.5">
      <c r="A38" t="s">
        <v>36</v>
      </c>
      <c r="B38" s="1">
        <v>11.797288999999999</v>
      </c>
      <c r="C38" s="1">
        <v>11.797288999999999</v>
      </c>
      <c r="D38" s="1">
        <v>11.797288999999999</v>
      </c>
      <c r="E38" s="1">
        <v>11.797288999999999</v>
      </c>
      <c r="F38" s="1">
        <f t="shared" si="0"/>
        <v>11.797288999999999</v>
      </c>
      <c r="G38" s="1">
        <f t="shared" si="1"/>
        <v>0</v>
      </c>
      <c r="H38" s="1">
        <f t="shared" si="2"/>
        <v>11.797288999999999</v>
      </c>
      <c r="I38" s="1">
        <f t="shared" si="3"/>
        <v>11.797288999999999</v>
      </c>
    </row>
    <row r="39" spans="1:9" x14ac:dyDescent="0.5">
      <c r="A39" t="s">
        <v>37</v>
      </c>
      <c r="B39" s="1">
        <v>1.9113917309999999</v>
      </c>
      <c r="C39" s="1">
        <v>1.9113917311649</v>
      </c>
      <c r="D39" s="1">
        <v>1.9113917311649</v>
      </c>
      <c r="E39" s="1">
        <v>1.9113917311649</v>
      </c>
      <c r="F39" s="1">
        <f t="shared" si="0"/>
        <v>1.911391731123675</v>
      </c>
      <c r="G39" s="1">
        <f t="shared" si="1"/>
        <v>8.2450046789972475E-11</v>
      </c>
      <c r="H39" s="1">
        <f t="shared" si="2"/>
        <v>1.9113917308763249</v>
      </c>
      <c r="I39" s="1">
        <f t="shared" si="3"/>
        <v>1.9113917313710251</v>
      </c>
    </row>
    <row r="40" spans="1:9" x14ac:dyDescent="0.5">
      <c r="A40" t="s">
        <v>38</v>
      </c>
      <c r="B40" s="1">
        <v>54.077500000000001</v>
      </c>
      <c r="C40" s="1">
        <v>54.077500000000001</v>
      </c>
      <c r="D40" s="1">
        <v>54.077500000000001</v>
      </c>
      <c r="E40" s="1">
        <v>54.077500000000001</v>
      </c>
      <c r="F40" s="1">
        <f t="shared" si="0"/>
        <v>54.077500000000001</v>
      </c>
      <c r="G40" s="1">
        <f t="shared" si="1"/>
        <v>0</v>
      </c>
      <c r="H40" s="1">
        <f t="shared" si="2"/>
        <v>54.077500000000001</v>
      </c>
      <c r="I40" s="1">
        <f t="shared" si="3"/>
        <v>54.077500000000001</v>
      </c>
    </row>
    <row r="41" spans="1:9" x14ac:dyDescent="0.5">
      <c r="A41" t="s">
        <v>39</v>
      </c>
      <c r="B41" s="1">
        <v>0.75359777800000005</v>
      </c>
      <c r="C41" s="1">
        <v>0.75359777806938499</v>
      </c>
      <c r="D41" s="1">
        <v>0.75359777806938499</v>
      </c>
      <c r="E41" s="1">
        <v>0.75359777806938499</v>
      </c>
      <c r="F41" s="1">
        <f t="shared" si="0"/>
        <v>0.75359777805203876</v>
      </c>
      <c r="G41" s="1">
        <f t="shared" si="1"/>
        <v>3.4692471118091817E-11</v>
      </c>
      <c r="H41" s="1">
        <f t="shared" si="2"/>
        <v>0.75359777794796134</v>
      </c>
      <c r="I41" s="1">
        <f t="shared" si="3"/>
        <v>0.75359777815611617</v>
      </c>
    </row>
    <row r="42" spans="1:9" x14ac:dyDescent="0.5">
      <c r="A42" t="s">
        <v>40</v>
      </c>
      <c r="B42" s="1">
        <v>80.795500000000004</v>
      </c>
      <c r="C42" s="1">
        <v>80.795500000000004</v>
      </c>
      <c r="D42" s="1">
        <v>80.795500000000004</v>
      </c>
      <c r="E42" s="1">
        <v>80.795500000000004</v>
      </c>
      <c r="F42" s="1">
        <f t="shared" si="0"/>
        <v>80.795500000000004</v>
      </c>
      <c r="G42" s="1">
        <f t="shared" si="1"/>
        <v>0</v>
      </c>
      <c r="H42" s="1">
        <f t="shared" si="2"/>
        <v>80.795500000000004</v>
      </c>
      <c r="I42" s="1">
        <f t="shared" si="3"/>
        <v>80.795500000000004</v>
      </c>
    </row>
    <row r="43" spans="1:9" x14ac:dyDescent="0.5">
      <c r="A43" t="s">
        <v>41</v>
      </c>
      <c r="B43" s="1">
        <v>0.99609663199999998</v>
      </c>
      <c r="C43" s="1">
        <v>0.996096631858576</v>
      </c>
      <c r="D43" s="1">
        <v>0.996096631858576</v>
      </c>
      <c r="E43" s="1">
        <v>0.996096631858576</v>
      </c>
      <c r="F43" s="1">
        <f t="shared" si="0"/>
        <v>0.99609663189393194</v>
      </c>
      <c r="G43" s="1">
        <f t="shared" si="1"/>
        <v>7.0711991817547138E-11</v>
      </c>
      <c r="H43" s="1">
        <f t="shared" si="2"/>
        <v>0.99609663168179596</v>
      </c>
      <c r="I43" s="1">
        <f t="shared" si="3"/>
        <v>0.99609663210606791</v>
      </c>
    </row>
    <row r="44" spans="1:9" x14ac:dyDescent="0.5">
      <c r="A44" t="s">
        <v>42</v>
      </c>
      <c r="B44" s="1">
        <v>112.0509</v>
      </c>
      <c r="C44" s="1">
        <v>112.0509</v>
      </c>
      <c r="D44" s="1">
        <v>112.0509</v>
      </c>
      <c r="E44" s="1">
        <v>112.0509</v>
      </c>
      <c r="F44" s="1">
        <f t="shared" si="0"/>
        <v>112.0509</v>
      </c>
      <c r="G44" s="1">
        <f t="shared" si="1"/>
        <v>0</v>
      </c>
      <c r="H44" s="1">
        <f t="shared" si="2"/>
        <v>112.0509</v>
      </c>
      <c r="I44" s="1">
        <f t="shared" si="3"/>
        <v>112.0509</v>
      </c>
    </row>
    <row r="45" spans="1:9" x14ac:dyDescent="0.5">
      <c r="A45" t="s">
        <v>43</v>
      </c>
      <c r="B45" s="1">
        <v>8.4951780760000002</v>
      </c>
      <c r="C45" s="1">
        <v>8.4951780760878908</v>
      </c>
      <c r="D45" s="1">
        <v>8.4951780760878908</v>
      </c>
      <c r="E45" s="1">
        <v>8.4951780760878908</v>
      </c>
      <c r="F45" s="1">
        <f t="shared" si="0"/>
        <v>8.4951780760659172</v>
      </c>
      <c r="G45" s="1">
        <f t="shared" si="1"/>
        <v>4.3945291861890116E-11</v>
      </c>
      <c r="H45" s="1">
        <f t="shared" si="2"/>
        <v>8.4951780759340814</v>
      </c>
      <c r="I45" s="1">
        <f t="shared" si="3"/>
        <v>8.4951780761977531</v>
      </c>
    </row>
    <row r="46" spans="1:9" x14ac:dyDescent="0.5">
      <c r="A46" t="s">
        <v>44</v>
      </c>
      <c r="B46" s="1">
        <v>1.8882000000000001</v>
      </c>
      <c r="C46" s="1">
        <v>1.8882000000000001</v>
      </c>
      <c r="D46" s="1">
        <v>1.8882000000000001</v>
      </c>
      <c r="E46" s="1">
        <v>1.8882000000000001</v>
      </c>
      <c r="F46" s="1">
        <f t="shared" si="0"/>
        <v>1.8882000000000001</v>
      </c>
      <c r="G46" s="1">
        <f t="shared" si="1"/>
        <v>0</v>
      </c>
      <c r="H46" s="1">
        <f t="shared" si="2"/>
        <v>1.8882000000000001</v>
      </c>
      <c r="I46" s="1">
        <f t="shared" si="3"/>
        <v>1.8882000000000001</v>
      </c>
    </row>
    <row r="47" spans="1:9" x14ac:dyDescent="0.5">
      <c r="A47" t="s">
        <v>45</v>
      </c>
      <c r="B47" s="1">
        <v>3.8334202999999997E-2</v>
      </c>
      <c r="C47" s="1">
        <v>3.83342028886881E-2</v>
      </c>
      <c r="D47" s="1">
        <v>3.83342028886881E-2</v>
      </c>
      <c r="E47" s="1">
        <v>3.83342028886881E-2</v>
      </c>
      <c r="F47" s="1">
        <f t="shared" si="0"/>
        <v>3.8334202916516076E-2</v>
      </c>
      <c r="G47" s="1">
        <f t="shared" si="1"/>
        <v>5.565594859979765E-11</v>
      </c>
      <c r="H47" s="1">
        <f t="shared" si="2"/>
        <v>3.8334202749548227E-2</v>
      </c>
      <c r="I47" s="1">
        <f t="shared" si="3"/>
        <v>3.8334203083483925E-2</v>
      </c>
    </row>
    <row r="48" spans="1:9" x14ac:dyDescent="0.5">
      <c r="A48" t="s">
        <v>46</v>
      </c>
      <c r="B48" s="1">
        <v>-112.06789999999999</v>
      </c>
      <c r="C48" s="1">
        <v>-112.06789999999999</v>
      </c>
      <c r="D48" s="1">
        <v>-112.06789999999999</v>
      </c>
      <c r="E48" s="1">
        <v>-112.06789999999999</v>
      </c>
      <c r="F48" s="1">
        <f t="shared" si="0"/>
        <v>-112.06789999999999</v>
      </c>
      <c r="G48" s="1">
        <f t="shared" si="1"/>
        <v>0</v>
      </c>
      <c r="H48" s="1">
        <f t="shared" si="2"/>
        <v>-112.06789999999999</v>
      </c>
      <c r="I48" s="1">
        <f t="shared" si="3"/>
        <v>-112.06789999999999</v>
      </c>
    </row>
    <row r="49" spans="1:9" x14ac:dyDescent="0.5">
      <c r="A49" t="s">
        <v>47</v>
      </c>
      <c r="B49" s="1">
        <v>3.6555913169999998</v>
      </c>
      <c r="C49" s="1">
        <v>3.6555913171165302</v>
      </c>
      <c r="D49" s="1">
        <v>3.6555913171165302</v>
      </c>
      <c r="E49" s="1">
        <v>3.6555913171165302</v>
      </c>
      <c r="F49" s="1">
        <f t="shared" si="0"/>
        <v>3.6555913170873975</v>
      </c>
      <c r="G49" s="1">
        <f t="shared" si="1"/>
        <v>5.8265170466284025E-11</v>
      </c>
      <c r="H49" s="1">
        <f t="shared" si="2"/>
        <v>3.6555913169126022</v>
      </c>
      <c r="I49" s="1">
        <f t="shared" si="3"/>
        <v>3.6555913172621928</v>
      </c>
    </row>
    <row r="50" spans="1:9" x14ac:dyDescent="0.5">
      <c r="A50" t="s">
        <v>48</v>
      </c>
      <c r="B50" s="1">
        <v>0.75819999999999999</v>
      </c>
      <c r="C50" s="1">
        <v>0.75819999999999999</v>
      </c>
      <c r="D50" s="1">
        <v>0.75819999999999999</v>
      </c>
      <c r="E50" s="1">
        <v>0.75819999999999999</v>
      </c>
      <c r="F50" s="1">
        <f t="shared" si="0"/>
        <v>0.75819999999999999</v>
      </c>
      <c r="G50" s="1">
        <f t="shared" si="1"/>
        <v>0</v>
      </c>
      <c r="H50" s="1">
        <f t="shared" si="2"/>
        <v>0.75819999999999999</v>
      </c>
      <c r="I50" s="1">
        <f t="shared" si="3"/>
        <v>0.75819999999999999</v>
      </c>
    </row>
    <row r="51" spans="1:9" x14ac:dyDescent="0.5">
      <c r="A51" t="s">
        <v>49</v>
      </c>
      <c r="B51" s="1">
        <v>6.7954230000000001E-3</v>
      </c>
      <c r="C51" s="1">
        <v>6.7954232964384E-3</v>
      </c>
      <c r="D51" s="1">
        <v>6.7954232964384E-3</v>
      </c>
      <c r="E51" s="1">
        <v>6.7954232964384E-3</v>
      </c>
      <c r="F51" s="1">
        <f t="shared" si="0"/>
        <v>6.7954232223288004E-3</v>
      </c>
      <c r="G51" s="1">
        <f t="shared" si="1"/>
        <v>1.4821919993440735E-10</v>
      </c>
      <c r="H51" s="1">
        <f t="shared" si="2"/>
        <v>6.7954227776712006E-3</v>
      </c>
      <c r="I51" s="1">
        <f t="shared" si="3"/>
        <v>6.7954236669864002E-3</v>
      </c>
    </row>
    <row r="52" spans="1:9" x14ac:dyDescent="0.5">
      <c r="A52" t="s">
        <v>50</v>
      </c>
      <c r="B52" s="1">
        <v>11.806119000000001</v>
      </c>
      <c r="C52" s="1">
        <v>11.806119000000001</v>
      </c>
      <c r="D52" s="1">
        <v>11.806119000000001</v>
      </c>
      <c r="E52" s="1">
        <v>11.806119000000001</v>
      </c>
      <c r="F52" s="1">
        <f t="shared" si="0"/>
        <v>11.806119000000001</v>
      </c>
      <c r="G52" s="1">
        <f t="shared" si="1"/>
        <v>0</v>
      </c>
      <c r="H52" s="1">
        <f t="shared" si="2"/>
        <v>11.806119000000001</v>
      </c>
      <c r="I52" s="1">
        <f t="shared" si="3"/>
        <v>11.806119000000001</v>
      </c>
    </row>
    <row r="53" spans="1:9" x14ac:dyDescent="0.5">
      <c r="A53" t="s">
        <v>51</v>
      </c>
      <c r="B53" s="1">
        <v>17.205038529999999</v>
      </c>
      <c r="C53" s="1">
        <v>17.205038534733799</v>
      </c>
      <c r="D53" s="1">
        <v>17.205038534733799</v>
      </c>
      <c r="E53" s="1">
        <v>17.205038534733799</v>
      </c>
      <c r="F53" s="1">
        <f t="shared" si="0"/>
        <v>17.205038533550351</v>
      </c>
      <c r="G53" s="1">
        <f t="shared" si="1"/>
        <v>2.3668995652323949E-9</v>
      </c>
      <c r="H53" s="1">
        <f t="shared" si="2"/>
        <v>17.205038526449652</v>
      </c>
      <c r="I53" s="1">
        <f t="shared" si="3"/>
        <v>17.205038540651049</v>
      </c>
    </row>
    <row r="54" spans="1:9" x14ac:dyDescent="0.5">
      <c r="A54" t="s">
        <v>52</v>
      </c>
      <c r="B54" s="1">
        <v>54.076799999999999</v>
      </c>
      <c r="C54" s="1">
        <v>54.076799999999999</v>
      </c>
      <c r="D54" s="1">
        <v>54.076799999999999</v>
      </c>
      <c r="E54" s="1">
        <v>54.076799999999999</v>
      </c>
      <c r="F54" s="1">
        <f t="shared" si="0"/>
        <v>54.076799999999999</v>
      </c>
      <c r="G54" s="1">
        <f t="shared" si="1"/>
        <v>0</v>
      </c>
      <c r="H54" s="1">
        <f t="shared" si="2"/>
        <v>54.076799999999999</v>
      </c>
      <c r="I54" s="1">
        <f t="shared" si="3"/>
        <v>54.076799999999999</v>
      </c>
    </row>
    <row r="55" spans="1:9" x14ac:dyDescent="0.5">
      <c r="A55" t="s">
        <v>53</v>
      </c>
      <c r="B55" s="1">
        <v>6.7810958599999998</v>
      </c>
      <c r="C55" s="1">
        <v>6.7810958603065501</v>
      </c>
      <c r="D55" s="1">
        <v>6.7810958603065501</v>
      </c>
      <c r="E55" s="1">
        <v>6.7810958603065501</v>
      </c>
      <c r="F55" s="1">
        <f t="shared" si="0"/>
        <v>6.7810958602299127</v>
      </c>
      <c r="G55" s="1">
        <f t="shared" si="1"/>
        <v>1.5327517033391431E-10</v>
      </c>
      <c r="H55" s="1">
        <f t="shared" si="2"/>
        <v>6.7810958597700868</v>
      </c>
      <c r="I55" s="1">
        <f t="shared" si="3"/>
        <v>6.7810958606897387</v>
      </c>
    </row>
    <row r="56" spans="1:9" x14ac:dyDescent="0.5">
      <c r="A56" t="s">
        <v>54</v>
      </c>
      <c r="B56" s="1">
        <v>80.320300000000003</v>
      </c>
      <c r="C56" s="1">
        <v>80.320300000000003</v>
      </c>
      <c r="D56" s="1">
        <v>80.320300000000003</v>
      </c>
      <c r="E56" s="1">
        <v>80.320300000000003</v>
      </c>
      <c r="F56" s="1">
        <f t="shared" si="0"/>
        <v>80.320300000000003</v>
      </c>
      <c r="G56" s="1">
        <f t="shared" si="1"/>
        <v>0</v>
      </c>
      <c r="H56" s="1">
        <f t="shared" si="2"/>
        <v>80.320300000000003</v>
      </c>
      <c r="I56" s="1">
        <f t="shared" si="3"/>
        <v>80.320300000000003</v>
      </c>
    </row>
    <row r="57" spans="1:9" x14ac:dyDescent="0.5">
      <c r="A57" t="s">
        <v>55</v>
      </c>
      <c r="B57" s="1">
        <v>9.2504295760000002</v>
      </c>
      <c r="C57" s="1">
        <v>9.25042957621128</v>
      </c>
      <c r="D57" s="1">
        <v>9.25042957621128</v>
      </c>
      <c r="E57" s="1">
        <v>9.25042957621128</v>
      </c>
      <c r="F57" s="1">
        <f t="shared" si="0"/>
        <v>9.2504295761584601</v>
      </c>
      <c r="G57" s="1">
        <f t="shared" si="1"/>
        <v>1.056399412391329E-10</v>
      </c>
      <c r="H57" s="1">
        <f t="shared" si="2"/>
        <v>9.2504295758415402</v>
      </c>
      <c r="I57" s="1">
        <f t="shared" si="3"/>
        <v>9.2504295764753799</v>
      </c>
    </row>
    <row r="58" spans="1:9" x14ac:dyDescent="0.5">
      <c r="A58" t="s">
        <v>56</v>
      </c>
      <c r="B58" s="1">
        <v>112.042</v>
      </c>
      <c r="C58" s="1">
        <v>112.042</v>
      </c>
      <c r="D58" s="1">
        <v>112.042</v>
      </c>
      <c r="E58" s="1">
        <v>112.042</v>
      </c>
      <c r="F58" s="1">
        <f t="shared" si="0"/>
        <v>112.042</v>
      </c>
      <c r="G58" s="1">
        <f t="shared" si="1"/>
        <v>0</v>
      </c>
      <c r="H58" s="1">
        <f t="shared" si="2"/>
        <v>112.042</v>
      </c>
      <c r="I58" s="1">
        <f t="shared" si="3"/>
        <v>112.042</v>
      </c>
    </row>
    <row r="59" spans="1:9" x14ac:dyDescent="0.5">
      <c r="A59" t="s">
        <v>57</v>
      </c>
      <c r="B59" s="1">
        <v>76.469887909999997</v>
      </c>
      <c r="C59" s="1">
        <v>76.469887913841902</v>
      </c>
      <c r="D59" s="1">
        <v>76.469887913841902</v>
      </c>
      <c r="E59" s="1">
        <v>76.469887913841902</v>
      </c>
      <c r="F59" s="1">
        <f t="shared" si="0"/>
        <v>76.469887912881418</v>
      </c>
      <c r="G59" s="1">
        <f t="shared" si="1"/>
        <v>1.9209522861449522E-9</v>
      </c>
      <c r="H59" s="1">
        <f t="shared" si="2"/>
        <v>76.469887907118562</v>
      </c>
      <c r="I59" s="1">
        <f t="shared" si="3"/>
        <v>76.469887918644275</v>
      </c>
    </row>
    <row r="60" spans="1:9" x14ac:dyDescent="0.5">
      <c r="A60" t="s">
        <v>58</v>
      </c>
      <c r="B60" s="1">
        <v>1.8876999999999999</v>
      </c>
      <c r="C60" s="1">
        <v>1.8876999999999999</v>
      </c>
      <c r="D60" s="1">
        <v>1.8876999999999999</v>
      </c>
      <c r="E60" s="1">
        <v>1.8876999999999999</v>
      </c>
      <c r="F60" s="1">
        <f t="shared" si="0"/>
        <v>1.8876999999999999</v>
      </c>
      <c r="G60" s="1">
        <f t="shared" si="1"/>
        <v>0</v>
      </c>
      <c r="H60" s="1">
        <f t="shared" si="2"/>
        <v>1.8876999999999999</v>
      </c>
      <c r="I60" s="1">
        <f t="shared" si="3"/>
        <v>1.8876999999999999</v>
      </c>
    </row>
    <row r="61" spans="1:9" x14ac:dyDescent="0.5">
      <c r="A61" t="s">
        <v>59</v>
      </c>
      <c r="B61" s="1">
        <v>0.23122430199999999</v>
      </c>
      <c r="C61" s="1">
        <v>0.231224301875425</v>
      </c>
      <c r="D61" s="1">
        <v>0.231224301875425</v>
      </c>
      <c r="E61" s="1">
        <v>0.231224301875425</v>
      </c>
      <c r="F61" s="1">
        <f t="shared" si="0"/>
        <v>0.23122430190656873</v>
      </c>
      <c r="G61" s="1">
        <f t="shared" si="1"/>
        <v>6.2287494606576765E-11</v>
      </c>
      <c r="H61" s="1">
        <f t="shared" si="2"/>
        <v>0.23122430171970626</v>
      </c>
      <c r="I61" s="1">
        <f t="shared" si="3"/>
        <v>0.2312243020934312</v>
      </c>
    </row>
    <row r="62" spans="1:9" x14ac:dyDescent="0.5">
      <c r="A62" t="s">
        <v>60</v>
      </c>
      <c r="B62" s="1">
        <v>-114.30119999999999</v>
      </c>
      <c r="C62" s="1">
        <v>-114.30119999999999</v>
      </c>
      <c r="D62" s="1">
        <v>-114.30119999999999</v>
      </c>
      <c r="E62" s="1">
        <v>-114.30119999999999</v>
      </c>
      <c r="F62" s="1">
        <f t="shared" si="0"/>
        <v>-114.30119999999999</v>
      </c>
      <c r="G62" s="1">
        <f t="shared" si="1"/>
        <v>0</v>
      </c>
      <c r="H62" s="1">
        <f t="shared" si="2"/>
        <v>-114.30119999999999</v>
      </c>
      <c r="I62" s="1">
        <f t="shared" si="3"/>
        <v>-114.30119999999999</v>
      </c>
    </row>
    <row r="63" spans="1:9" x14ac:dyDescent="0.5">
      <c r="A63" t="s">
        <v>61</v>
      </c>
      <c r="B63" s="1">
        <v>36.783976500000001</v>
      </c>
      <c r="C63" s="1">
        <v>36.783976504873799</v>
      </c>
      <c r="D63" s="1">
        <v>36.783976504873799</v>
      </c>
      <c r="E63" s="1">
        <v>36.783976504873799</v>
      </c>
      <c r="F63" s="1">
        <f t="shared" si="0"/>
        <v>36.783976503655353</v>
      </c>
      <c r="G63" s="1">
        <f t="shared" si="1"/>
        <v>2.4368986828483655E-9</v>
      </c>
      <c r="H63" s="1">
        <f t="shared" si="2"/>
        <v>36.783976496344657</v>
      </c>
      <c r="I63" s="1">
        <f t="shared" si="3"/>
        <v>36.783976510966049</v>
      </c>
    </row>
    <row r="64" spans="1:9" x14ac:dyDescent="0.5">
      <c r="A64" t="s">
        <v>62</v>
      </c>
      <c r="B64" s="1">
        <v>0.76539999999999997</v>
      </c>
      <c r="C64" s="1">
        <v>0.76539999999999997</v>
      </c>
      <c r="D64" s="1">
        <v>0.76539999999999997</v>
      </c>
      <c r="E64" s="1">
        <v>0.76539999999999997</v>
      </c>
      <c r="F64" s="1">
        <f t="shared" si="0"/>
        <v>0.76539999999999997</v>
      </c>
      <c r="G64" s="1">
        <f t="shared" si="1"/>
        <v>0</v>
      </c>
      <c r="H64" s="1">
        <f t="shared" si="2"/>
        <v>0.76539999999999997</v>
      </c>
      <c r="I64" s="1">
        <f t="shared" si="3"/>
        <v>0.76539999999999997</v>
      </c>
    </row>
    <row r="65" spans="1:9" x14ac:dyDescent="0.5">
      <c r="A65" t="s">
        <v>63</v>
      </c>
      <c r="B65" s="1">
        <v>7.3509183000000006E-2</v>
      </c>
      <c r="C65" s="1">
        <v>7.3509183099800507E-2</v>
      </c>
      <c r="D65" s="1">
        <v>7.3509183099800507E-2</v>
      </c>
      <c r="E65" s="1">
        <v>7.3509183099800507E-2</v>
      </c>
      <c r="F65" s="1">
        <f t="shared" si="0"/>
        <v>7.3509183074850382E-2</v>
      </c>
      <c r="G65" s="1">
        <f t="shared" si="1"/>
        <v>4.990025059825598E-11</v>
      </c>
      <c r="H65" s="1">
        <f t="shared" si="2"/>
        <v>7.350918292514963E-2</v>
      </c>
      <c r="I65" s="1">
        <f t="shared" si="3"/>
        <v>7.3509183224551133E-2</v>
      </c>
    </row>
    <row r="66" spans="1:9" x14ac:dyDescent="0.5">
      <c r="A66" t="s">
        <v>64</v>
      </c>
      <c r="B66" s="1">
        <v>13.90288432</v>
      </c>
      <c r="C66" s="1">
        <v>13.9028843208716</v>
      </c>
      <c r="D66" s="1">
        <v>13.9028843208716</v>
      </c>
      <c r="E66" s="1">
        <v>13.9028843208716</v>
      </c>
      <c r="F66" s="1">
        <f t="shared" si="0"/>
        <v>13.902884320653699</v>
      </c>
      <c r="G66" s="1">
        <f t="shared" si="1"/>
        <v>4.3579984065930306E-10</v>
      </c>
      <c r="H66" s="1">
        <f t="shared" si="2"/>
        <v>13.902884319346299</v>
      </c>
      <c r="I66" s="1">
        <f t="shared" si="3"/>
        <v>13.9028843219611</v>
      </c>
    </row>
    <row r="67" spans="1:9" x14ac:dyDescent="0.5">
      <c r="A67" t="s">
        <v>65</v>
      </c>
      <c r="B67" s="1">
        <v>0.171403311</v>
      </c>
      <c r="C67" s="1">
        <v>0.171403311386645</v>
      </c>
      <c r="D67" s="1">
        <v>0.171403311386645</v>
      </c>
      <c r="E67" s="1">
        <v>0.171403311386645</v>
      </c>
      <c r="F67" s="1">
        <f t="shared" ref="F67:F130" si="4">AVERAGE(B67:E67)</f>
        <v>0.17140331128998373</v>
      </c>
      <c r="G67" s="1">
        <f t="shared" ref="G67:G130" si="5">_xlfn.STDEV.S(B67:E67)</f>
        <v>1.9332249689974002E-10</v>
      </c>
      <c r="H67" s="1">
        <f t="shared" ref="H67:H130" si="6">F67-3*G67</f>
        <v>0.17140331071001624</v>
      </c>
      <c r="I67" s="1">
        <f t="shared" ref="I67:I130" si="7">F67+3*G67</f>
        <v>0.17140331186995122</v>
      </c>
    </row>
    <row r="68" spans="1:9" x14ac:dyDescent="0.5">
      <c r="A68" t="s">
        <v>66</v>
      </c>
      <c r="B68" s="1">
        <v>13.821114290000001</v>
      </c>
      <c r="C68" s="1">
        <v>13.8211142887624</v>
      </c>
      <c r="D68" s="1">
        <v>13.8211142887624</v>
      </c>
      <c r="E68" s="1">
        <v>13.8211142887624</v>
      </c>
      <c r="F68" s="1">
        <f t="shared" si="4"/>
        <v>13.821114289071801</v>
      </c>
      <c r="G68" s="1">
        <f t="shared" si="5"/>
        <v>6.1880012225422763E-10</v>
      </c>
      <c r="H68" s="1">
        <f t="shared" si="6"/>
        <v>13.821114287215401</v>
      </c>
      <c r="I68" s="1">
        <f t="shared" si="7"/>
        <v>13.8211142909282</v>
      </c>
    </row>
    <row r="69" spans="1:9" x14ac:dyDescent="0.5">
      <c r="A69" t="s">
        <v>67</v>
      </c>
      <c r="B69" s="1">
        <v>1.591767516</v>
      </c>
      <c r="C69" s="1">
        <v>1.5917675157209901</v>
      </c>
      <c r="D69" s="1">
        <v>1.5917675157209901</v>
      </c>
      <c r="E69" s="1">
        <v>1.5917675157209901</v>
      </c>
      <c r="F69" s="1">
        <f t="shared" si="4"/>
        <v>1.5917675157907427</v>
      </c>
      <c r="G69" s="1">
        <f t="shared" si="5"/>
        <v>1.3950496313710411E-10</v>
      </c>
      <c r="H69" s="1">
        <f t="shared" si="6"/>
        <v>1.5917675153722279</v>
      </c>
      <c r="I69" s="1">
        <f t="shared" si="7"/>
        <v>1.5917675162092575</v>
      </c>
    </row>
    <row r="70" spans="1:9" x14ac:dyDescent="0.5">
      <c r="A70" t="s">
        <v>68</v>
      </c>
      <c r="B70" s="1">
        <v>72.287106510000001</v>
      </c>
      <c r="C70" s="1">
        <v>107.357430458068</v>
      </c>
      <c r="D70" s="1">
        <v>145.548582077026</v>
      </c>
      <c r="E70" s="1">
        <v>91.558456420898395</v>
      </c>
      <c r="F70" s="1">
        <f t="shared" si="4"/>
        <v>104.1878938664981</v>
      </c>
      <c r="G70" s="1">
        <f t="shared" si="5"/>
        <v>31.080086956177279</v>
      </c>
      <c r="H70" s="1">
        <v>0</v>
      </c>
      <c r="I70" s="1">
        <v>100000000</v>
      </c>
    </row>
    <row r="71" spans="1:9" x14ac:dyDescent="0.5">
      <c r="A71" t="s">
        <v>69</v>
      </c>
      <c r="B71" s="1">
        <v>27.856648660000001</v>
      </c>
      <c r="C71" s="1">
        <v>42.469114458592202</v>
      </c>
      <c r="D71" s="1">
        <v>70.084214057566598</v>
      </c>
      <c r="E71" s="1">
        <v>30.919482381774099</v>
      </c>
      <c r="F71" s="1">
        <f t="shared" si="4"/>
        <v>42.832364889483223</v>
      </c>
      <c r="G71" s="1">
        <f t="shared" si="5"/>
        <v>19.226579520583815</v>
      </c>
      <c r="H71" s="1">
        <v>0</v>
      </c>
      <c r="I71" s="1">
        <v>100000000</v>
      </c>
    </row>
    <row r="72" spans="1:9" x14ac:dyDescent="0.5">
      <c r="A72" t="s">
        <v>70</v>
      </c>
      <c r="B72" s="1">
        <v>-3.98E-3</v>
      </c>
      <c r="C72" s="1">
        <v>-3.9799999999999003E-3</v>
      </c>
      <c r="D72" s="1">
        <v>-3.9799999999999003E-3</v>
      </c>
      <c r="E72" s="1">
        <v>-3.9799999999999003E-3</v>
      </c>
      <c r="F72" s="1">
        <f t="shared" si="4"/>
        <v>-3.9799999999999254E-3</v>
      </c>
      <c r="G72" s="1">
        <f t="shared" si="5"/>
        <v>4.987392845337135E-17</v>
      </c>
      <c r="H72" s="1">
        <f t="shared" si="6"/>
        <v>-3.9800000000000755E-3</v>
      </c>
      <c r="I72" s="1">
        <f t="shared" si="7"/>
        <v>-3.9799999999997754E-3</v>
      </c>
    </row>
    <row r="73" spans="1:9" x14ac:dyDescent="0.5">
      <c r="A73" t="s">
        <v>71</v>
      </c>
      <c r="B73" s="1">
        <v>1.3032119999999999E-2</v>
      </c>
      <c r="C73" s="1">
        <v>1.3032120148139901E-2</v>
      </c>
      <c r="D73" s="1">
        <v>1.3032120148139901E-2</v>
      </c>
      <c r="E73" s="1">
        <v>1.3032120148139901E-2</v>
      </c>
      <c r="F73" s="1">
        <f t="shared" si="4"/>
        <v>1.3032120111104925E-2</v>
      </c>
      <c r="G73" s="1">
        <f t="shared" si="5"/>
        <v>7.4069950693755882E-11</v>
      </c>
      <c r="H73" s="1">
        <f t="shared" si="6"/>
        <v>1.3032119888895074E-2</v>
      </c>
      <c r="I73" s="1">
        <f t="shared" si="7"/>
        <v>1.3032120333314776E-2</v>
      </c>
    </row>
    <row r="74" spans="1:9" x14ac:dyDescent="0.5">
      <c r="A74" t="s">
        <v>72</v>
      </c>
      <c r="B74" s="1">
        <v>28.407900000000001</v>
      </c>
      <c r="C74" s="1">
        <v>28.407899999999898</v>
      </c>
      <c r="D74" s="1">
        <v>28.407899999999898</v>
      </c>
      <c r="E74" s="1">
        <v>28.407899999999898</v>
      </c>
      <c r="F74" s="1">
        <f t="shared" si="4"/>
        <v>28.407899999999923</v>
      </c>
      <c r="G74" s="1">
        <f t="shared" si="5"/>
        <v>5.1524556278572437E-14</v>
      </c>
      <c r="H74" s="1">
        <f t="shared" si="6"/>
        <v>28.407899999999767</v>
      </c>
      <c r="I74" s="1">
        <f t="shared" si="7"/>
        <v>28.40790000000008</v>
      </c>
    </row>
    <row r="75" spans="1:9" x14ac:dyDescent="0.5">
      <c r="A75" t="s">
        <v>73</v>
      </c>
      <c r="B75" s="1">
        <v>1.6180858680000001</v>
      </c>
      <c r="C75" s="1">
        <v>1.61808586848095</v>
      </c>
      <c r="D75" s="1">
        <v>1.61808586848095</v>
      </c>
      <c r="E75" s="1">
        <v>1.61808586848095</v>
      </c>
      <c r="F75" s="1">
        <f t="shared" si="4"/>
        <v>1.6180858683607124</v>
      </c>
      <c r="G75" s="1">
        <f t="shared" si="5"/>
        <v>2.4047497326765785E-10</v>
      </c>
      <c r="H75" s="1">
        <f t="shared" si="6"/>
        <v>1.6180858676392875</v>
      </c>
      <c r="I75" s="1">
        <f t="shared" si="7"/>
        <v>1.6180858690821374</v>
      </c>
    </row>
    <row r="76" spans="1:9" x14ac:dyDescent="0.5">
      <c r="A76" t="s">
        <v>74</v>
      </c>
      <c r="B76" s="1">
        <v>37.502800000000001</v>
      </c>
      <c r="C76" s="1">
        <v>37.502799999999901</v>
      </c>
      <c r="D76" s="1">
        <v>37.502799999999901</v>
      </c>
      <c r="E76" s="1">
        <v>37.502799999999901</v>
      </c>
      <c r="F76" s="1">
        <f t="shared" si="4"/>
        <v>37.502799999999922</v>
      </c>
      <c r="G76" s="1">
        <f t="shared" si="5"/>
        <v>4.9906881603821014E-14</v>
      </c>
      <c r="H76" s="1">
        <f t="shared" si="6"/>
        <v>37.502799999999773</v>
      </c>
      <c r="I76" s="1">
        <f t="shared" si="7"/>
        <v>37.502800000000072</v>
      </c>
    </row>
    <row r="77" spans="1:9" x14ac:dyDescent="0.5">
      <c r="A77" t="s">
        <v>75</v>
      </c>
      <c r="B77" s="1">
        <v>2.3148495420000001</v>
      </c>
      <c r="C77" s="1">
        <v>2.3148495415469199</v>
      </c>
      <c r="D77" s="1">
        <v>2.3148495415469199</v>
      </c>
      <c r="E77" s="1">
        <v>2.3148495415469199</v>
      </c>
      <c r="F77" s="1">
        <f t="shared" si="4"/>
        <v>2.3148495416601902</v>
      </c>
      <c r="G77" s="1">
        <f t="shared" si="5"/>
        <v>2.2654011999648858E-10</v>
      </c>
      <c r="H77" s="1">
        <f t="shared" si="6"/>
        <v>2.3148495409805698</v>
      </c>
      <c r="I77" s="1">
        <f t="shared" si="7"/>
        <v>2.3148495423398106</v>
      </c>
    </row>
    <row r="78" spans="1:9" x14ac:dyDescent="0.5">
      <c r="A78" t="s">
        <v>76</v>
      </c>
      <c r="B78" s="1">
        <v>53.735399999999998</v>
      </c>
      <c r="C78" s="1">
        <v>53.735399999999998</v>
      </c>
      <c r="D78" s="1">
        <v>53.735399999999998</v>
      </c>
      <c r="E78" s="1">
        <v>53.735399999999998</v>
      </c>
      <c r="F78" s="1">
        <f t="shared" si="4"/>
        <v>53.735399999999998</v>
      </c>
      <c r="G78" s="1">
        <f t="shared" si="5"/>
        <v>0</v>
      </c>
      <c r="H78" s="1">
        <f t="shared" si="6"/>
        <v>53.735399999999998</v>
      </c>
      <c r="I78" s="1">
        <f t="shared" si="7"/>
        <v>53.735399999999998</v>
      </c>
    </row>
    <row r="79" spans="1:9" x14ac:dyDescent="0.5">
      <c r="A79" t="s">
        <v>77</v>
      </c>
      <c r="B79" s="1">
        <v>25.246660550000001</v>
      </c>
      <c r="C79" s="1">
        <v>25.246660554527899</v>
      </c>
      <c r="D79" s="1">
        <v>25.246660554527899</v>
      </c>
      <c r="E79" s="1">
        <v>25.246660554527899</v>
      </c>
      <c r="F79" s="1">
        <f t="shared" si="4"/>
        <v>25.246660553395927</v>
      </c>
      <c r="G79" s="1">
        <f t="shared" si="5"/>
        <v>2.2639490282481541E-9</v>
      </c>
      <c r="H79" s="1">
        <f t="shared" si="6"/>
        <v>25.24666054660408</v>
      </c>
      <c r="I79" s="1">
        <f t="shared" si="7"/>
        <v>25.246660560187774</v>
      </c>
    </row>
    <row r="80" spans="1:9" x14ac:dyDescent="0.5">
      <c r="A80" t="s">
        <v>78</v>
      </c>
      <c r="B80" s="1">
        <v>0.99160000000000004</v>
      </c>
      <c r="C80" s="1">
        <v>0.99160000000000004</v>
      </c>
      <c r="D80" s="1">
        <v>0.99160000000000004</v>
      </c>
      <c r="E80" s="1">
        <v>0.99160000000000004</v>
      </c>
      <c r="F80" s="1">
        <f t="shared" si="4"/>
        <v>0.99160000000000004</v>
      </c>
      <c r="G80" s="1">
        <f t="shared" si="5"/>
        <v>0</v>
      </c>
      <c r="H80" s="1">
        <f t="shared" si="6"/>
        <v>0.99160000000000004</v>
      </c>
      <c r="I80" s="1">
        <f t="shared" si="7"/>
        <v>0.99160000000000004</v>
      </c>
    </row>
    <row r="81" spans="1:9" x14ac:dyDescent="0.5">
      <c r="A81" t="s">
        <v>79</v>
      </c>
      <c r="B81" s="1">
        <v>5.3659833999999997E-2</v>
      </c>
      <c r="C81" s="1">
        <v>5.3659833933565E-2</v>
      </c>
      <c r="D81" s="1">
        <v>5.3659833933565E-2</v>
      </c>
      <c r="E81" s="1">
        <v>5.3659833933565E-2</v>
      </c>
      <c r="F81" s="1">
        <f t="shared" si="4"/>
        <v>5.3659833950173749E-2</v>
      </c>
      <c r="G81" s="1">
        <f t="shared" si="5"/>
        <v>3.3217498196513873E-11</v>
      </c>
      <c r="H81" s="1">
        <f t="shared" si="6"/>
        <v>5.3659833850521255E-2</v>
      </c>
      <c r="I81" s="1">
        <f t="shared" si="7"/>
        <v>5.3659834049826244E-2</v>
      </c>
    </row>
    <row r="82" spans="1:9" x14ac:dyDescent="0.5">
      <c r="A82" t="s">
        <v>80</v>
      </c>
      <c r="B82" s="1">
        <v>1.5854999999999999</v>
      </c>
      <c r="C82" s="1">
        <v>1.5854999999999999</v>
      </c>
      <c r="D82" s="1">
        <v>1.5854999999999999</v>
      </c>
      <c r="E82" s="1">
        <v>1.5854999999999999</v>
      </c>
      <c r="F82" s="1">
        <f t="shared" si="4"/>
        <v>1.5854999999999999</v>
      </c>
      <c r="G82" s="1">
        <f t="shared" si="5"/>
        <v>0</v>
      </c>
      <c r="H82" s="1">
        <f t="shared" si="6"/>
        <v>1.5854999999999999</v>
      </c>
      <c r="I82" s="1">
        <f t="shared" si="7"/>
        <v>1.5854999999999999</v>
      </c>
    </row>
    <row r="83" spans="1:9" x14ac:dyDescent="0.5">
      <c r="A83" t="s">
        <v>81</v>
      </c>
      <c r="B83" s="1">
        <v>5.8375193029999997</v>
      </c>
      <c r="C83" s="1">
        <v>5.8375193028469798</v>
      </c>
      <c r="D83" s="1">
        <v>5.8375193028469798</v>
      </c>
      <c r="E83" s="1">
        <v>5.8375193028469798</v>
      </c>
      <c r="F83" s="1">
        <f t="shared" si="4"/>
        <v>5.8375193028852337</v>
      </c>
      <c r="G83" s="1">
        <f t="shared" si="5"/>
        <v>7.6509909529758216E-11</v>
      </c>
      <c r="H83" s="1">
        <f t="shared" si="6"/>
        <v>5.8375193026557035</v>
      </c>
      <c r="I83" s="1">
        <f t="shared" si="7"/>
        <v>5.8375193031147639</v>
      </c>
    </row>
    <row r="84" spans="1:9" x14ac:dyDescent="0.5">
      <c r="A84" t="s">
        <v>82</v>
      </c>
      <c r="B84" s="1">
        <v>0.9375</v>
      </c>
      <c r="C84" s="1">
        <v>0.9375</v>
      </c>
      <c r="D84" s="1">
        <v>0.9375</v>
      </c>
      <c r="E84" s="1">
        <v>0.9375</v>
      </c>
      <c r="F84" s="1">
        <f t="shared" si="4"/>
        <v>0.9375</v>
      </c>
      <c r="G84" s="1">
        <f t="shared" si="5"/>
        <v>0</v>
      </c>
      <c r="H84" s="1">
        <f t="shared" si="6"/>
        <v>0.9375</v>
      </c>
      <c r="I84" s="1">
        <f t="shared" si="7"/>
        <v>0.9375</v>
      </c>
    </row>
    <row r="85" spans="1:9" x14ac:dyDescent="0.5">
      <c r="A85" t="s">
        <v>83</v>
      </c>
      <c r="B85" s="1">
        <v>2.8771130000000002E-3</v>
      </c>
      <c r="C85" s="1">
        <v>2.8771127502719E-3</v>
      </c>
      <c r="D85" s="1">
        <v>2.8771127502719E-3</v>
      </c>
      <c r="E85" s="1">
        <v>2.8771127502719E-3</v>
      </c>
      <c r="F85" s="1">
        <f t="shared" si="4"/>
        <v>2.8771128127039248E-3</v>
      </c>
      <c r="G85" s="1">
        <f t="shared" si="5"/>
        <v>1.2486405008907409E-10</v>
      </c>
      <c r="H85" s="1">
        <f t="shared" si="6"/>
        <v>2.8771124381117745E-3</v>
      </c>
      <c r="I85" s="1">
        <f t="shared" si="7"/>
        <v>2.8771131872960751E-3</v>
      </c>
    </row>
    <row r="86" spans="1:9" x14ac:dyDescent="0.5">
      <c r="A86" t="s">
        <v>84</v>
      </c>
      <c r="B86" s="1">
        <v>2.215E-2</v>
      </c>
      <c r="C86" s="1">
        <v>2.215E-2</v>
      </c>
      <c r="D86" s="1">
        <v>2.215E-2</v>
      </c>
      <c r="E86" s="1">
        <v>2.215E-2</v>
      </c>
      <c r="F86" s="1">
        <f t="shared" si="4"/>
        <v>2.215E-2</v>
      </c>
      <c r="G86" s="1">
        <f t="shared" si="5"/>
        <v>0</v>
      </c>
      <c r="H86" s="1">
        <f t="shared" si="6"/>
        <v>2.215E-2</v>
      </c>
      <c r="I86" s="1">
        <f t="shared" si="7"/>
        <v>2.215E-2</v>
      </c>
    </row>
    <row r="87" spans="1:9" x14ac:dyDescent="0.5">
      <c r="A87" t="s">
        <v>85</v>
      </c>
      <c r="B87" s="1">
        <v>0.121007174</v>
      </c>
      <c r="C87" s="1">
        <v>0.121007173892019</v>
      </c>
      <c r="D87" s="1">
        <v>0.121007173892019</v>
      </c>
      <c r="E87" s="1">
        <v>0.121007173892019</v>
      </c>
      <c r="F87" s="1">
        <f t="shared" si="4"/>
        <v>0.12100717391901424</v>
      </c>
      <c r="G87" s="1">
        <f t="shared" si="5"/>
        <v>5.39904995711118E-11</v>
      </c>
      <c r="H87" s="1">
        <f t="shared" si="6"/>
        <v>0.12100717375704273</v>
      </c>
      <c r="I87" s="1">
        <f t="shared" si="7"/>
        <v>0.12100717408098574</v>
      </c>
    </row>
    <row r="88" spans="1:9" x14ac:dyDescent="0.5">
      <c r="A88" t="s">
        <v>86</v>
      </c>
      <c r="B88" s="1">
        <v>29.124333329999999</v>
      </c>
      <c r="C88" s="1">
        <v>29.124333333333301</v>
      </c>
      <c r="D88" s="1">
        <v>29.124333333333301</v>
      </c>
      <c r="E88" s="1">
        <v>29.124333333333301</v>
      </c>
      <c r="F88" s="1">
        <f t="shared" si="4"/>
        <v>29.124333332499972</v>
      </c>
      <c r="G88" s="1">
        <f t="shared" si="5"/>
        <v>1.6666508173585703E-9</v>
      </c>
      <c r="H88" s="1">
        <f t="shared" si="6"/>
        <v>29.124333327500018</v>
      </c>
      <c r="I88" s="1">
        <f t="shared" si="7"/>
        <v>29.124333337499927</v>
      </c>
    </row>
    <row r="89" spans="1:9" x14ac:dyDescent="0.5">
      <c r="A89" t="s">
        <v>87</v>
      </c>
      <c r="B89" s="1">
        <v>2.80710959</v>
      </c>
      <c r="C89" s="1">
        <v>2.8071095899519101</v>
      </c>
      <c r="D89" s="1">
        <v>2.8071095899519101</v>
      </c>
      <c r="E89" s="1">
        <v>2.8071095899519101</v>
      </c>
      <c r="F89" s="1">
        <f t="shared" si="4"/>
        <v>2.8071095899639325</v>
      </c>
      <c r="G89" s="1">
        <f t="shared" si="5"/>
        <v>2.4044988223068464E-11</v>
      </c>
      <c r="H89" s="1">
        <f t="shared" si="6"/>
        <v>2.8071095898917973</v>
      </c>
      <c r="I89" s="1">
        <f t="shared" si="7"/>
        <v>2.8071095900360676</v>
      </c>
    </row>
    <row r="90" spans="1:9" x14ac:dyDescent="0.5">
      <c r="A90" t="s">
        <v>88</v>
      </c>
      <c r="B90" s="1">
        <v>38.601555560000001</v>
      </c>
      <c r="C90" s="1">
        <v>38.6015555555555</v>
      </c>
      <c r="D90" s="1">
        <v>38.6015555555555</v>
      </c>
      <c r="E90" s="1">
        <v>38.6015555555555</v>
      </c>
      <c r="F90" s="1">
        <f t="shared" si="4"/>
        <v>38.601555556666625</v>
      </c>
      <c r="G90" s="1">
        <f t="shared" si="5"/>
        <v>2.2222508277991437E-9</v>
      </c>
      <c r="H90" s="1">
        <f t="shared" si="6"/>
        <v>38.601555549999873</v>
      </c>
      <c r="I90" s="1">
        <f t="shared" si="7"/>
        <v>38.601555563333378</v>
      </c>
    </row>
    <row r="91" spans="1:9" x14ac:dyDescent="0.5">
      <c r="A91" t="s">
        <v>89</v>
      </c>
      <c r="B91" s="1">
        <v>3.6138429030000001</v>
      </c>
      <c r="C91" s="1">
        <v>3.6138429030296502</v>
      </c>
      <c r="D91" s="1">
        <v>3.6138429030296502</v>
      </c>
      <c r="E91" s="1">
        <v>3.6138429030296502</v>
      </c>
      <c r="F91" s="1">
        <f t="shared" si="4"/>
        <v>3.6138429030222374</v>
      </c>
      <c r="G91" s="1">
        <f t="shared" si="5"/>
        <v>1.4825030094641782E-11</v>
      </c>
      <c r="H91" s="1">
        <f t="shared" si="6"/>
        <v>3.6138429029777623</v>
      </c>
      <c r="I91" s="1">
        <f t="shared" si="7"/>
        <v>3.6138429030667125</v>
      </c>
    </row>
    <row r="92" spans="1:9" x14ac:dyDescent="0.5">
      <c r="A92" t="s">
        <v>90</v>
      </c>
      <c r="B92" s="1">
        <v>77.388999999999996</v>
      </c>
      <c r="C92" s="1">
        <v>77.388999999999996</v>
      </c>
      <c r="D92" s="1">
        <v>77.388999999999996</v>
      </c>
      <c r="E92" s="1">
        <v>77.388999999999996</v>
      </c>
      <c r="F92" s="1">
        <f t="shared" si="4"/>
        <v>77.388999999999996</v>
      </c>
      <c r="G92" s="1">
        <f t="shared" si="5"/>
        <v>0</v>
      </c>
      <c r="H92" s="1">
        <f t="shared" si="6"/>
        <v>77.388999999999996</v>
      </c>
      <c r="I92" s="1">
        <f t="shared" si="7"/>
        <v>77.388999999999996</v>
      </c>
    </row>
    <row r="93" spans="1:9" x14ac:dyDescent="0.5">
      <c r="A93" t="s">
        <v>91</v>
      </c>
      <c r="B93" s="1">
        <v>82.381718149999998</v>
      </c>
      <c r="C93" s="1">
        <v>82.381718149417097</v>
      </c>
      <c r="D93" s="1">
        <v>82.381718149417097</v>
      </c>
      <c r="E93" s="1">
        <v>82.381718149417097</v>
      </c>
      <c r="F93" s="1">
        <f t="shared" si="4"/>
        <v>82.381718149562829</v>
      </c>
      <c r="G93" s="1">
        <f t="shared" si="5"/>
        <v>2.914504194695626E-10</v>
      </c>
      <c r="H93" s="1">
        <f t="shared" si="6"/>
        <v>82.381718148688478</v>
      </c>
      <c r="I93" s="1">
        <f t="shared" si="7"/>
        <v>82.38171815043718</v>
      </c>
    </row>
    <row r="94" spans="1:9" x14ac:dyDescent="0.5">
      <c r="A94" t="s">
        <v>92</v>
      </c>
      <c r="B94" s="1">
        <v>1.0196666670000001</v>
      </c>
      <c r="C94" s="1">
        <v>1.0196666666666601</v>
      </c>
      <c r="D94" s="1">
        <v>1.0196666666666601</v>
      </c>
      <c r="E94" s="1">
        <v>1.0196666666666601</v>
      </c>
      <c r="F94" s="1">
        <f t="shared" si="4"/>
        <v>1.0196666667499952</v>
      </c>
      <c r="G94" s="1">
        <f t="shared" si="5"/>
        <v>1.666700111258517E-10</v>
      </c>
      <c r="H94" s="1">
        <f t="shared" si="6"/>
        <v>1.0196666662499851</v>
      </c>
      <c r="I94" s="1">
        <f t="shared" si="7"/>
        <v>1.0196666672500052</v>
      </c>
    </row>
    <row r="95" spans="1:9" x14ac:dyDescent="0.5">
      <c r="A95" t="s">
        <v>93</v>
      </c>
      <c r="B95" s="1">
        <v>0.10855643700000001</v>
      </c>
      <c r="C95" s="1">
        <v>0.108556436934895</v>
      </c>
      <c r="D95" s="1">
        <v>0.108556436934895</v>
      </c>
      <c r="E95" s="1">
        <v>0.108556436934895</v>
      </c>
      <c r="F95" s="1">
        <f t="shared" si="4"/>
        <v>0.10855643695117126</v>
      </c>
      <c r="G95" s="1">
        <f t="shared" si="5"/>
        <v>3.2552502360340002E-11</v>
      </c>
      <c r="H95" s="1">
        <f t="shared" si="6"/>
        <v>0.10855643685351375</v>
      </c>
      <c r="I95" s="1">
        <f t="shared" si="7"/>
        <v>0.10855643704882877</v>
      </c>
    </row>
    <row r="96" spans="1:9" x14ac:dyDescent="0.5">
      <c r="A96" t="s">
        <v>94</v>
      </c>
      <c r="B96" s="1">
        <v>-8.1111110000000007E-3</v>
      </c>
      <c r="C96" s="1">
        <v>-8.1111111111111002E-3</v>
      </c>
      <c r="D96" s="1">
        <v>-8.1111111111111002E-3</v>
      </c>
      <c r="E96" s="1">
        <v>-8.1111111111111002E-3</v>
      </c>
      <c r="F96" s="1">
        <f t="shared" si="4"/>
        <v>-8.1111110833333253E-3</v>
      </c>
      <c r="G96" s="1">
        <f t="shared" si="5"/>
        <v>5.5555549743901977E-11</v>
      </c>
      <c r="H96" s="1">
        <f t="shared" si="6"/>
        <v>-8.1111112499999746E-3</v>
      </c>
      <c r="I96" s="1">
        <f t="shared" si="7"/>
        <v>-8.1111109166666761E-3</v>
      </c>
    </row>
    <row r="97" spans="1:9" x14ac:dyDescent="0.5">
      <c r="A97" t="s">
        <v>95</v>
      </c>
      <c r="B97" s="1">
        <v>1.1666669999999999E-3</v>
      </c>
      <c r="C97" s="1">
        <v>1.1666666666666E-3</v>
      </c>
      <c r="D97" s="1">
        <v>1.1666666666666E-3</v>
      </c>
      <c r="E97" s="1">
        <v>1.1666666666666E-3</v>
      </c>
      <c r="F97" s="1">
        <f t="shared" si="4"/>
        <v>1.16666674999995E-3</v>
      </c>
      <c r="G97" s="1">
        <f t="shared" si="5"/>
        <v>1.666666999723676E-10</v>
      </c>
      <c r="H97" s="1">
        <f t="shared" si="6"/>
        <v>1.16666624999985E-3</v>
      </c>
      <c r="I97" s="1">
        <f t="shared" si="7"/>
        <v>1.1666672500000499E-3</v>
      </c>
    </row>
    <row r="98" spans="1:9" x14ac:dyDescent="0.5">
      <c r="A98" t="s">
        <v>96</v>
      </c>
      <c r="B98" s="1">
        <v>0.93922222200000005</v>
      </c>
      <c r="C98" s="1">
        <v>0.93922222222222196</v>
      </c>
      <c r="D98" s="1">
        <v>0.93922222222222196</v>
      </c>
      <c r="E98" s="1">
        <v>0.93922222222222196</v>
      </c>
      <c r="F98" s="1">
        <f t="shared" si="4"/>
        <v>0.93922222216666651</v>
      </c>
      <c r="G98" s="1">
        <f t="shared" si="5"/>
        <v>1.111109537710366E-10</v>
      </c>
      <c r="H98" s="1">
        <f t="shared" si="6"/>
        <v>0.9392222218333337</v>
      </c>
      <c r="I98" s="1">
        <f t="shared" si="7"/>
        <v>0.93922222249999932</v>
      </c>
    </row>
    <row r="99" spans="1:9" x14ac:dyDescent="0.5">
      <c r="A99" t="s">
        <v>97</v>
      </c>
      <c r="B99" s="1">
        <v>6.6290610000000003E-3</v>
      </c>
      <c r="C99" s="1">
        <v>6.6290606004504003E-3</v>
      </c>
      <c r="D99" s="1">
        <v>6.6290606004504003E-3</v>
      </c>
      <c r="E99" s="1">
        <v>6.6290606004504003E-3</v>
      </c>
      <c r="F99" s="1">
        <f t="shared" si="4"/>
        <v>6.6290607003377999E-3</v>
      </c>
      <c r="G99" s="1">
        <f t="shared" si="5"/>
        <v>1.9977480000127337E-10</v>
      </c>
      <c r="H99" s="1">
        <f t="shared" si="6"/>
        <v>6.6290601010133999E-3</v>
      </c>
      <c r="I99" s="1">
        <f t="shared" si="7"/>
        <v>6.6290612996621999E-3</v>
      </c>
    </row>
    <row r="100" spans="1:9" x14ac:dyDescent="0.5">
      <c r="A100" t="s">
        <v>98</v>
      </c>
      <c r="B100" s="1">
        <v>6.4532936870000004</v>
      </c>
      <c r="C100" s="1">
        <v>6.4532936872571502</v>
      </c>
      <c r="D100" s="1">
        <v>6.4532936872571502</v>
      </c>
      <c r="E100" s="1">
        <v>6.4532936872571502</v>
      </c>
      <c r="F100" s="1">
        <f t="shared" si="4"/>
        <v>6.453293687192863</v>
      </c>
      <c r="G100" s="1">
        <f t="shared" si="5"/>
        <v>1.2857492848209503E-10</v>
      </c>
      <c r="H100" s="1">
        <f t="shared" si="6"/>
        <v>6.4532936868071378</v>
      </c>
      <c r="I100" s="1">
        <f t="shared" si="7"/>
        <v>6.4532936875785882</v>
      </c>
    </row>
    <row r="101" spans="1:9" x14ac:dyDescent="0.5">
      <c r="A101" t="s">
        <v>99</v>
      </c>
      <c r="B101" s="1">
        <v>0.39832769600000001</v>
      </c>
      <c r="C101" s="1">
        <v>0.39832769642306298</v>
      </c>
      <c r="D101" s="1">
        <v>0.39832769642306298</v>
      </c>
      <c r="E101" s="1">
        <v>0.39832769642306298</v>
      </c>
      <c r="F101" s="1">
        <f t="shared" si="4"/>
        <v>0.39832769631729725</v>
      </c>
      <c r="G101" s="1">
        <f t="shared" si="5"/>
        <v>2.1153148677122209E-10</v>
      </c>
      <c r="H101" s="1">
        <f t="shared" si="6"/>
        <v>0.39832769568270276</v>
      </c>
      <c r="I101" s="1">
        <f t="shared" si="7"/>
        <v>0.39832769695189174</v>
      </c>
    </row>
    <row r="102" spans="1:9" x14ac:dyDescent="0.5">
      <c r="A102" t="s">
        <v>100</v>
      </c>
      <c r="B102" s="1">
        <v>6.6423620310000002</v>
      </c>
      <c r="C102" s="1">
        <v>6.6423620312342804</v>
      </c>
      <c r="D102" s="1">
        <v>6.6423620312342804</v>
      </c>
      <c r="E102" s="1">
        <v>6.6423620312342804</v>
      </c>
      <c r="F102" s="1">
        <f t="shared" si="4"/>
        <v>6.6423620311757103</v>
      </c>
      <c r="G102" s="1">
        <f t="shared" si="5"/>
        <v>1.1714007541741012E-10</v>
      </c>
      <c r="H102" s="1">
        <f t="shared" si="6"/>
        <v>6.6423620308242901</v>
      </c>
      <c r="I102" s="1">
        <f t="shared" si="7"/>
        <v>6.6423620315271306</v>
      </c>
    </row>
    <row r="103" spans="1:9" x14ac:dyDescent="0.5">
      <c r="A103" t="s">
        <v>101</v>
      </c>
      <c r="B103" s="1">
        <v>0.62185195800000004</v>
      </c>
      <c r="C103" s="1">
        <v>0.62185195753011302</v>
      </c>
      <c r="D103" s="1">
        <v>0.62185195753011302</v>
      </c>
      <c r="E103" s="1">
        <v>0.62185195753011302</v>
      </c>
      <c r="F103" s="1">
        <f t="shared" si="4"/>
        <v>0.62185195764758472</v>
      </c>
      <c r="G103" s="1">
        <f t="shared" si="5"/>
        <v>2.349435090920425E-10</v>
      </c>
      <c r="H103" s="1">
        <f t="shared" si="6"/>
        <v>0.62185195694275419</v>
      </c>
      <c r="I103" s="1">
        <f t="shared" si="7"/>
        <v>0.62185195835241525</v>
      </c>
    </row>
    <row r="104" spans="1:9" x14ac:dyDescent="0.5">
      <c r="A104" t="s">
        <v>102</v>
      </c>
      <c r="B104" s="1">
        <v>494.42892069999999</v>
      </c>
      <c r="C104" s="1">
        <v>282.62572288513098</v>
      </c>
      <c r="D104" s="1">
        <v>379.83093261718699</v>
      </c>
      <c r="E104" s="1">
        <v>1048.8235235214199</v>
      </c>
      <c r="F104" s="1">
        <f t="shared" si="4"/>
        <v>551.42727493093446</v>
      </c>
      <c r="G104" s="1">
        <f t="shared" si="5"/>
        <v>342.71048013087898</v>
      </c>
      <c r="H104" s="1">
        <v>0</v>
      </c>
      <c r="I104" s="1">
        <v>100000000</v>
      </c>
    </row>
    <row r="105" spans="1:9" x14ac:dyDescent="0.5">
      <c r="A105" t="s">
        <v>103</v>
      </c>
      <c r="B105" s="1">
        <v>75.995154850000006</v>
      </c>
      <c r="C105" s="1">
        <v>128.422895849371</v>
      </c>
      <c r="D105" s="1">
        <v>240.32210861050501</v>
      </c>
      <c r="E105" s="1">
        <v>461.01077038656399</v>
      </c>
      <c r="F105" s="1">
        <f t="shared" si="4"/>
        <v>226.43773242411001</v>
      </c>
      <c r="G105" s="1">
        <f t="shared" si="5"/>
        <v>170.74070338472808</v>
      </c>
      <c r="H105" s="1">
        <v>0</v>
      </c>
      <c r="I105" s="1">
        <v>100000000</v>
      </c>
    </row>
    <row r="106" spans="1:9" x14ac:dyDescent="0.5">
      <c r="A106" t="s">
        <v>104</v>
      </c>
      <c r="B106" s="1">
        <v>-1.7880000000000001E-3</v>
      </c>
      <c r="C106" s="1">
        <v>-1.7880000000000001E-3</v>
      </c>
      <c r="D106" s="1">
        <v>-1.7880000000000001E-3</v>
      </c>
      <c r="E106" s="1">
        <v>-1.7880000000000001E-3</v>
      </c>
      <c r="F106" s="1">
        <f t="shared" si="4"/>
        <v>-1.7880000000000001E-3</v>
      </c>
      <c r="G106" s="1">
        <f t="shared" si="5"/>
        <v>0</v>
      </c>
      <c r="H106" s="1">
        <f t="shared" si="6"/>
        <v>-1.7880000000000001E-3</v>
      </c>
      <c r="I106" s="1">
        <f t="shared" si="7"/>
        <v>-1.7880000000000001E-3</v>
      </c>
    </row>
    <row r="107" spans="1:9" x14ac:dyDescent="0.5">
      <c r="A107" t="s">
        <v>105</v>
      </c>
      <c r="B107" s="1">
        <v>4.6220719999999996E-3</v>
      </c>
      <c r="C107" s="1">
        <v>4.6220721663676996E-3</v>
      </c>
      <c r="D107" s="1">
        <v>4.6220721663676996E-3</v>
      </c>
      <c r="E107" s="1">
        <v>4.6220721663676996E-3</v>
      </c>
      <c r="F107" s="1">
        <f t="shared" si="4"/>
        <v>4.6220721247757744E-3</v>
      </c>
      <c r="G107" s="1">
        <f t="shared" si="5"/>
        <v>8.318384999914108E-11</v>
      </c>
      <c r="H107" s="1">
        <f t="shared" si="6"/>
        <v>4.6220718752242249E-3</v>
      </c>
      <c r="I107" s="1">
        <f t="shared" si="7"/>
        <v>4.622072374327324E-3</v>
      </c>
    </row>
    <row r="108" spans="1:9" x14ac:dyDescent="0.5">
      <c r="A108" t="s">
        <v>106</v>
      </c>
      <c r="B108" s="1">
        <v>21.229199999999999</v>
      </c>
      <c r="C108" s="1">
        <v>21.229199999999999</v>
      </c>
      <c r="D108" s="1">
        <v>21.229199999999999</v>
      </c>
      <c r="E108" s="1">
        <v>21.229199999999999</v>
      </c>
      <c r="F108" s="1">
        <f t="shared" si="4"/>
        <v>21.229199999999999</v>
      </c>
      <c r="G108" s="1">
        <f t="shared" si="5"/>
        <v>0</v>
      </c>
      <c r="H108" s="1">
        <f t="shared" si="6"/>
        <v>21.229199999999999</v>
      </c>
      <c r="I108" s="1">
        <f t="shared" si="7"/>
        <v>21.229199999999999</v>
      </c>
    </row>
    <row r="109" spans="1:9" x14ac:dyDescent="0.5">
      <c r="A109" t="s">
        <v>107</v>
      </c>
      <c r="B109" s="1">
        <v>0.79561936700000002</v>
      </c>
      <c r="C109" s="1">
        <v>0.79561936739736105</v>
      </c>
      <c r="D109" s="1">
        <v>0.79561936739736105</v>
      </c>
      <c r="E109" s="1">
        <v>0.79561936739736105</v>
      </c>
      <c r="F109" s="1">
        <f t="shared" si="4"/>
        <v>0.79561936729802074</v>
      </c>
      <c r="G109" s="1">
        <f t="shared" si="5"/>
        <v>1.9868051648331754E-10</v>
      </c>
      <c r="H109" s="1">
        <f t="shared" si="6"/>
        <v>0.79561936670197919</v>
      </c>
      <c r="I109" s="1">
        <f t="shared" si="7"/>
        <v>0.79561936789406229</v>
      </c>
    </row>
    <row r="110" spans="1:9" x14ac:dyDescent="0.5">
      <c r="A110" t="s">
        <v>108</v>
      </c>
      <c r="B110" s="1">
        <v>28.595800000000001</v>
      </c>
      <c r="C110" s="1">
        <v>28.595800000000001</v>
      </c>
      <c r="D110" s="1">
        <v>28.595800000000001</v>
      </c>
      <c r="E110" s="1">
        <v>28.595800000000001</v>
      </c>
      <c r="F110" s="1">
        <f t="shared" si="4"/>
        <v>28.595800000000001</v>
      </c>
      <c r="G110" s="1">
        <f t="shared" si="5"/>
        <v>0</v>
      </c>
      <c r="H110" s="1">
        <f t="shared" si="6"/>
        <v>28.595800000000001</v>
      </c>
      <c r="I110" s="1">
        <f t="shared" si="7"/>
        <v>28.595800000000001</v>
      </c>
    </row>
    <row r="111" spans="1:9" x14ac:dyDescent="0.5">
      <c r="A111" t="s">
        <v>109</v>
      </c>
      <c r="B111" s="1">
        <v>0.99948306600000003</v>
      </c>
      <c r="C111" s="1">
        <v>0.99948306638982098</v>
      </c>
      <c r="D111" s="1">
        <v>0.99948306638982098</v>
      </c>
      <c r="E111" s="1">
        <v>0.99948306638982098</v>
      </c>
      <c r="F111" s="1">
        <f t="shared" si="4"/>
        <v>0.99948306629236572</v>
      </c>
      <c r="G111" s="1">
        <f t="shared" si="5"/>
        <v>1.9491047664743896E-10</v>
      </c>
      <c r="H111" s="1">
        <f t="shared" si="6"/>
        <v>0.99948306570763434</v>
      </c>
      <c r="I111" s="1">
        <f t="shared" si="7"/>
        <v>0.99948306687709709</v>
      </c>
    </row>
    <row r="112" spans="1:9" x14ac:dyDescent="0.5">
      <c r="A112" t="s">
        <v>110</v>
      </c>
      <c r="B112" s="1">
        <v>40.111499999999999</v>
      </c>
      <c r="C112" s="1">
        <v>40.111499999999999</v>
      </c>
      <c r="D112" s="1">
        <v>40.111499999999999</v>
      </c>
      <c r="E112" s="1">
        <v>40.111499999999999</v>
      </c>
      <c r="F112" s="1">
        <f t="shared" si="4"/>
        <v>40.111499999999999</v>
      </c>
      <c r="G112" s="1">
        <f t="shared" si="5"/>
        <v>0</v>
      </c>
      <c r="H112" s="1">
        <f t="shared" si="6"/>
        <v>40.111499999999999</v>
      </c>
      <c r="I112" s="1">
        <f t="shared" si="7"/>
        <v>40.111499999999999</v>
      </c>
    </row>
    <row r="113" spans="1:9" x14ac:dyDescent="0.5">
      <c r="A113" t="s">
        <v>111</v>
      </c>
      <c r="B113" s="1">
        <v>18.06409936</v>
      </c>
      <c r="C113" s="1">
        <v>18.064099357873001</v>
      </c>
      <c r="D113" s="1">
        <v>18.064099357873001</v>
      </c>
      <c r="E113" s="1">
        <v>18.064099357873001</v>
      </c>
      <c r="F113" s="1">
        <f t="shared" si="4"/>
        <v>18.064099358404754</v>
      </c>
      <c r="G113" s="1">
        <f t="shared" si="5"/>
        <v>1.0634995106828624E-9</v>
      </c>
      <c r="H113" s="1">
        <f t="shared" si="6"/>
        <v>18.064099355214253</v>
      </c>
      <c r="I113" s="1">
        <f t="shared" si="7"/>
        <v>18.064099361595254</v>
      </c>
    </row>
    <row r="114" spans="1:9" x14ac:dyDescent="0.5">
      <c r="A114" t="s">
        <v>112</v>
      </c>
      <c r="B114" s="1">
        <v>0.74119999999999997</v>
      </c>
      <c r="C114" s="1">
        <v>0.74119999999999997</v>
      </c>
      <c r="D114" s="1">
        <v>0.74119999999999997</v>
      </c>
      <c r="E114" s="1">
        <v>0.74119999999999997</v>
      </c>
      <c r="F114" s="1">
        <f t="shared" si="4"/>
        <v>0.74119999999999997</v>
      </c>
      <c r="G114" s="1">
        <f t="shared" si="5"/>
        <v>0</v>
      </c>
      <c r="H114" s="1">
        <f t="shared" si="6"/>
        <v>0.74119999999999997</v>
      </c>
      <c r="I114" s="1">
        <f t="shared" si="7"/>
        <v>0.74119999999999997</v>
      </c>
    </row>
    <row r="115" spans="1:9" x14ac:dyDescent="0.5">
      <c r="A115" t="s">
        <v>113</v>
      </c>
      <c r="B115" s="1">
        <v>2.5926391999999999E-2</v>
      </c>
      <c r="C115" s="1">
        <v>2.5926391530210601E-2</v>
      </c>
      <c r="D115" s="1">
        <v>2.5926391530210601E-2</v>
      </c>
      <c r="E115" s="1">
        <v>2.5926391530210601E-2</v>
      </c>
      <c r="F115" s="1">
        <f t="shared" si="4"/>
        <v>2.5926391647657952E-2</v>
      </c>
      <c r="G115" s="1">
        <f t="shared" si="5"/>
        <v>2.348946991775902E-10</v>
      </c>
      <c r="H115" s="1">
        <f t="shared" si="6"/>
        <v>2.5926390942973852E-2</v>
      </c>
      <c r="I115" s="1">
        <f t="shared" si="7"/>
        <v>2.5926392352342051E-2</v>
      </c>
    </row>
    <row r="116" spans="1:9" x14ac:dyDescent="0.5">
      <c r="A116" t="s">
        <v>114</v>
      </c>
      <c r="B116" s="1">
        <v>24.950900000000001</v>
      </c>
      <c r="C116" s="1">
        <v>24.950900000000001</v>
      </c>
      <c r="D116" s="1">
        <v>24.950900000000001</v>
      </c>
      <c r="E116" s="1">
        <v>24.950900000000001</v>
      </c>
      <c r="F116" s="1">
        <f t="shared" si="4"/>
        <v>24.950900000000001</v>
      </c>
      <c r="G116" s="1">
        <f t="shared" si="5"/>
        <v>0</v>
      </c>
      <c r="H116" s="1">
        <f t="shared" si="6"/>
        <v>24.950900000000001</v>
      </c>
      <c r="I116" s="1">
        <f t="shared" si="7"/>
        <v>24.950900000000001</v>
      </c>
    </row>
    <row r="117" spans="1:9" x14ac:dyDescent="0.5">
      <c r="A117" t="s">
        <v>115</v>
      </c>
      <c r="B117" s="1">
        <v>2.5491466740000002</v>
      </c>
      <c r="C117" s="1">
        <v>2.54914667421603</v>
      </c>
      <c r="D117" s="1">
        <v>2.54914667421603</v>
      </c>
      <c r="E117" s="1">
        <v>2.54914667421603</v>
      </c>
      <c r="F117" s="1">
        <f t="shared" si="4"/>
        <v>2.5491466741620226</v>
      </c>
      <c r="G117" s="1">
        <f t="shared" si="5"/>
        <v>1.0801493033341103E-10</v>
      </c>
      <c r="H117" s="1">
        <f t="shared" si="6"/>
        <v>2.5491466738379778</v>
      </c>
      <c r="I117" s="1">
        <f t="shared" si="7"/>
        <v>2.5491466744860674</v>
      </c>
    </row>
    <row r="118" spans="1:9" x14ac:dyDescent="0.5">
      <c r="A118" t="s">
        <v>116</v>
      </c>
      <c r="B118" s="1">
        <v>0.96299999999999997</v>
      </c>
      <c r="C118" s="1">
        <v>0.96299999999999997</v>
      </c>
      <c r="D118" s="1">
        <v>0.96299999999999997</v>
      </c>
      <c r="E118" s="1">
        <v>0.96299999999999997</v>
      </c>
      <c r="F118" s="1">
        <f t="shared" si="4"/>
        <v>0.96299999999999997</v>
      </c>
      <c r="G118" s="1">
        <f t="shared" si="5"/>
        <v>0</v>
      </c>
      <c r="H118" s="1">
        <f t="shared" si="6"/>
        <v>0.96299999999999997</v>
      </c>
      <c r="I118" s="1">
        <f t="shared" si="7"/>
        <v>0.96299999999999997</v>
      </c>
    </row>
    <row r="119" spans="1:9" x14ac:dyDescent="0.5">
      <c r="A119" t="s">
        <v>117</v>
      </c>
      <c r="B119" s="1">
        <v>3.6209269999999999E-3</v>
      </c>
      <c r="C119" s="1">
        <v>3.6209268304000001E-3</v>
      </c>
      <c r="D119" s="1">
        <v>3.6209268304000001E-3</v>
      </c>
      <c r="E119" s="1">
        <v>3.6209268304000001E-3</v>
      </c>
      <c r="F119" s="1">
        <f t="shared" si="4"/>
        <v>3.6209268728000002E-3</v>
      </c>
      <c r="G119" s="1">
        <f t="shared" si="5"/>
        <v>8.4799999921364444E-11</v>
      </c>
      <c r="H119" s="1">
        <f t="shared" si="6"/>
        <v>3.6209266184000005E-3</v>
      </c>
      <c r="I119" s="1">
        <f t="shared" si="7"/>
        <v>3.6209271272E-3</v>
      </c>
    </row>
    <row r="120" spans="1:9" x14ac:dyDescent="0.5">
      <c r="A120" t="s">
        <v>118</v>
      </c>
      <c r="B120" s="1">
        <v>0.83007399999999998</v>
      </c>
      <c r="C120" s="1">
        <v>0.83007399999999998</v>
      </c>
      <c r="D120" s="1">
        <v>0.83007399999999998</v>
      </c>
      <c r="E120" s="1">
        <v>0.83007399999999998</v>
      </c>
      <c r="F120" s="1">
        <f t="shared" si="4"/>
        <v>0.83007399999999998</v>
      </c>
      <c r="G120" s="1">
        <f t="shared" si="5"/>
        <v>0</v>
      </c>
      <c r="H120" s="1">
        <f t="shared" si="6"/>
        <v>0.83007399999999998</v>
      </c>
      <c r="I120" s="1">
        <f t="shared" si="7"/>
        <v>0.83007399999999998</v>
      </c>
    </row>
    <row r="121" spans="1:9" x14ac:dyDescent="0.5">
      <c r="A121" t="s">
        <v>119</v>
      </c>
      <c r="B121" s="1">
        <v>0.66803038299999995</v>
      </c>
      <c r="C121" s="1">
        <v>0.66803038311142704</v>
      </c>
      <c r="D121" s="1">
        <v>0.66803038311142704</v>
      </c>
      <c r="E121" s="1">
        <v>0.66803038311142704</v>
      </c>
      <c r="F121" s="1">
        <f t="shared" si="4"/>
        <v>0.66803038308357021</v>
      </c>
      <c r="G121" s="1">
        <f t="shared" si="5"/>
        <v>5.5713544888683867E-11</v>
      </c>
      <c r="H121" s="1">
        <f t="shared" si="6"/>
        <v>0.66803038291642958</v>
      </c>
      <c r="I121" s="1">
        <f t="shared" si="7"/>
        <v>0.66803038325071085</v>
      </c>
    </row>
    <row r="122" spans="1:9" x14ac:dyDescent="0.5">
      <c r="A122" t="s">
        <v>120</v>
      </c>
      <c r="B122" s="1">
        <v>21.712</v>
      </c>
      <c r="C122" s="1">
        <v>21.712</v>
      </c>
      <c r="D122" s="1">
        <v>21.712</v>
      </c>
      <c r="E122" s="1">
        <v>21.712</v>
      </c>
      <c r="F122" s="1">
        <f t="shared" si="4"/>
        <v>21.712</v>
      </c>
      <c r="G122" s="1">
        <f t="shared" si="5"/>
        <v>0</v>
      </c>
      <c r="H122" s="1">
        <f t="shared" si="6"/>
        <v>21.712</v>
      </c>
      <c r="I122" s="1">
        <f t="shared" si="7"/>
        <v>21.712</v>
      </c>
    </row>
    <row r="123" spans="1:9" x14ac:dyDescent="0.5">
      <c r="A123" t="s">
        <v>121</v>
      </c>
      <c r="B123" s="1">
        <v>1.3854450549999999</v>
      </c>
      <c r="C123" s="1">
        <v>1.3854450548469901</v>
      </c>
      <c r="D123" s="1">
        <v>1.3854450548469901</v>
      </c>
      <c r="E123" s="1">
        <v>1.3854450548469901</v>
      </c>
      <c r="F123" s="1">
        <f t="shared" si="4"/>
        <v>1.3854450548852424</v>
      </c>
      <c r="G123" s="1">
        <f t="shared" si="5"/>
        <v>7.6504913515648891E-11</v>
      </c>
      <c r="H123" s="1">
        <f t="shared" si="6"/>
        <v>1.3854450546557278</v>
      </c>
      <c r="I123" s="1">
        <f t="shared" si="7"/>
        <v>1.385445055114757</v>
      </c>
    </row>
    <row r="124" spans="1:9" x14ac:dyDescent="0.5">
      <c r="A124" t="s">
        <v>122</v>
      </c>
      <c r="B124" s="1">
        <v>28.966222219999999</v>
      </c>
      <c r="C124" s="1">
        <v>28.9662222222222</v>
      </c>
      <c r="D124" s="1">
        <v>28.9662222222222</v>
      </c>
      <c r="E124" s="1">
        <v>28.9662222222222</v>
      </c>
      <c r="F124" s="1">
        <f t="shared" si="4"/>
        <v>28.966222221666648</v>
      </c>
      <c r="G124" s="1">
        <f t="shared" si="5"/>
        <v>1.1111005449057135E-9</v>
      </c>
      <c r="H124" s="1">
        <f t="shared" si="6"/>
        <v>28.966222218333346</v>
      </c>
      <c r="I124" s="1">
        <f t="shared" si="7"/>
        <v>28.966222224999949</v>
      </c>
    </row>
    <row r="125" spans="1:9" x14ac:dyDescent="0.5">
      <c r="A125" t="s">
        <v>123</v>
      </c>
      <c r="B125" s="1">
        <v>2.432509649</v>
      </c>
      <c r="C125" s="1">
        <v>2.43250964940417</v>
      </c>
      <c r="D125" s="1">
        <v>2.43250964940417</v>
      </c>
      <c r="E125" s="1">
        <v>2.43250964940417</v>
      </c>
      <c r="F125" s="1">
        <f t="shared" si="4"/>
        <v>2.4325096493031273</v>
      </c>
      <c r="G125" s="1">
        <f t="shared" si="5"/>
        <v>2.0208501538848289E-10</v>
      </c>
      <c r="H125" s="1">
        <f t="shared" si="6"/>
        <v>2.4325096486968723</v>
      </c>
      <c r="I125" s="1">
        <f t="shared" si="7"/>
        <v>2.4325096499093823</v>
      </c>
    </row>
    <row r="126" spans="1:9" x14ac:dyDescent="0.5">
      <c r="A126" t="s">
        <v>124</v>
      </c>
      <c r="B126" s="1">
        <v>56.620111110000003</v>
      </c>
      <c r="C126" s="1">
        <v>56.6201111111111</v>
      </c>
      <c r="D126" s="1">
        <v>56.6201111111111</v>
      </c>
      <c r="E126" s="1">
        <v>56.6201111111111</v>
      </c>
      <c r="F126" s="1">
        <f t="shared" si="4"/>
        <v>56.620111110833328</v>
      </c>
      <c r="G126" s="1">
        <f t="shared" si="5"/>
        <v>5.5554849609885725E-10</v>
      </c>
      <c r="H126" s="1">
        <f t="shared" si="6"/>
        <v>56.620111109166686</v>
      </c>
      <c r="I126" s="1">
        <f t="shared" si="7"/>
        <v>56.62011111249997</v>
      </c>
    </row>
    <row r="127" spans="1:9" x14ac:dyDescent="0.5">
      <c r="A127" t="s">
        <v>125</v>
      </c>
      <c r="B127" s="1">
        <v>57.078019390000001</v>
      </c>
      <c r="C127" s="1">
        <v>57.078019393292799</v>
      </c>
      <c r="D127" s="1">
        <v>57.078019393292799</v>
      </c>
      <c r="E127" s="1">
        <v>57.078019393292799</v>
      </c>
      <c r="F127" s="1">
        <f t="shared" si="4"/>
        <v>57.078019392469599</v>
      </c>
      <c r="G127" s="1">
        <f t="shared" si="5"/>
        <v>1.6463985730297281E-9</v>
      </c>
      <c r="H127" s="1">
        <f t="shared" si="6"/>
        <v>57.078019387530404</v>
      </c>
      <c r="I127" s="1">
        <f t="shared" si="7"/>
        <v>57.078019397408795</v>
      </c>
    </row>
    <row r="128" spans="1:9" x14ac:dyDescent="0.5">
      <c r="A128" t="s">
        <v>126</v>
      </c>
      <c r="B128" s="1">
        <v>0.75988888899999996</v>
      </c>
      <c r="C128" s="1">
        <v>0.75988888888888895</v>
      </c>
      <c r="D128" s="1">
        <v>0.75988888888888895</v>
      </c>
      <c r="E128" s="1">
        <v>0.75988888888888895</v>
      </c>
      <c r="F128" s="1">
        <f t="shared" si="4"/>
        <v>0.75988888891666662</v>
      </c>
      <c r="G128" s="1">
        <f t="shared" si="5"/>
        <v>5.5555504641174805E-11</v>
      </c>
      <c r="H128" s="1">
        <f t="shared" si="6"/>
        <v>0.75988888875000016</v>
      </c>
      <c r="I128" s="1">
        <f t="shared" si="7"/>
        <v>0.75988888908333307</v>
      </c>
    </row>
    <row r="129" spans="1:9" x14ac:dyDescent="0.5">
      <c r="A129" t="s">
        <v>127</v>
      </c>
      <c r="B129" s="1">
        <v>5.5902693000000003E-2</v>
      </c>
      <c r="C129" s="1">
        <v>5.5902693236651001E-2</v>
      </c>
      <c r="D129" s="1">
        <v>5.5902693236651001E-2</v>
      </c>
      <c r="E129" s="1">
        <v>5.5902693236651001E-2</v>
      </c>
      <c r="F129" s="1">
        <f t="shared" si="4"/>
        <v>5.5902693177488257E-2</v>
      </c>
      <c r="G129" s="1">
        <f t="shared" si="5"/>
        <v>1.1832549870471902E-10</v>
      </c>
      <c r="H129" s="1">
        <f t="shared" si="6"/>
        <v>5.5902692822511757E-2</v>
      </c>
      <c r="I129" s="1">
        <f t="shared" si="7"/>
        <v>5.5902693532464756E-2</v>
      </c>
    </row>
    <row r="130" spans="1:9" x14ac:dyDescent="0.5">
      <c r="A130" t="s">
        <v>128</v>
      </c>
      <c r="B130" s="1">
        <v>24.842111110000001</v>
      </c>
      <c r="C130" s="1">
        <v>24.842111111111102</v>
      </c>
      <c r="D130" s="1">
        <v>24.842111111111102</v>
      </c>
      <c r="E130" s="1">
        <v>24.842111111111102</v>
      </c>
      <c r="F130" s="1">
        <f t="shared" si="4"/>
        <v>24.842111110833329</v>
      </c>
      <c r="G130" s="1">
        <f t="shared" si="5"/>
        <v>5.5555027246042989E-10</v>
      </c>
      <c r="H130" s="1">
        <f t="shared" si="6"/>
        <v>24.84211110916668</v>
      </c>
      <c r="I130" s="1">
        <f t="shared" si="7"/>
        <v>24.842111112499978</v>
      </c>
    </row>
    <row r="131" spans="1:9" x14ac:dyDescent="0.5">
      <c r="A131" t="s">
        <v>129</v>
      </c>
      <c r="B131" s="1">
        <v>2.9570080079999999</v>
      </c>
      <c r="C131" s="1">
        <v>2.9570080082933599</v>
      </c>
      <c r="D131" s="1">
        <v>2.9570080082933599</v>
      </c>
      <c r="E131" s="1">
        <v>2.9570080082933599</v>
      </c>
      <c r="F131" s="1">
        <f t="shared" ref="F131:F194" si="8">AVERAGE(B131:E131)</f>
        <v>2.9570080082200203</v>
      </c>
      <c r="G131" s="1">
        <f t="shared" ref="G131:G194" si="9">_xlfn.STDEV.S(B131:E131)</f>
        <v>1.4668000147911294E-10</v>
      </c>
      <c r="H131" s="1">
        <f t="shared" ref="H131:H194" si="10">F131-3*G131</f>
        <v>2.9570080077799803</v>
      </c>
      <c r="I131" s="1">
        <f t="shared" ref="I131:I194" si="11">F131+3*G131</f>
        <v>2.9570080086600603</v>
      </c>
    </row>
    <row r="132" spans="1:9" x14ac:dyDescent="0.5">
      <c r="A132" t="s">
        <v>130</v>
      </c>
      <c r="B132" s="1">
        <v>0.96511111100000002</v>
      </c>
      <c r="C132" s="1">
        <v>0.96511111111111103</v>
      </c>
      <c r="D132" s="1">
        <v>0.96511111111111103</v>
      </c>
      <c r="E132" s="1">
        <v>0.96511111111111103</v>
      </c>
      <c r="F132" s="1">
        <f t="shared" si="8"/>
        <v>0.96511111108333325</v>
      </c>
      <c r="G132" s="1">
        <f t="shared" si="9"/>
        <v>5.555550464110085E-11</v>
      </c>
      <c r="H132" s="1">
        <f t="shared" si="10"/>
        <v>0.96511111091666679</v>
      </c>
      <c r="I132" s="1">
        <f t="shared" si="11"/>
        <v>0.96511111124999971</v>
      </c>
    </row>
    <row r="133" spans="1:9" x14ac:dyDescent="0.5">
      <c r="A133" t="s">
        <v>131</v>
      </c>
      <c r="B133" s="1">
        <v>5.3489360000000003E-3</v>
      </c>
      <c r="C133" s="1">
        <v>5.3489355119604003E-3</v>
      </c>
      <c r="D133" s="1">
        <v>5.3489355119604003E-3</v>
      </c>
      <c r="E133" s="1">
        <v>5.3489355119604003E-3</v>
      </c>
      <c r="F133" s="1">
        <f t="shared" si="8"/>
        <v>5.3489356339702998E-3</v>
      </c>
      <c r="G133" s="1">
        <f t="shared" si="9"/>
        <v>2.4401980002614065E-10</v>
      </c>
      <c r="H133" s="1">
        <f t="shared" si="10"/>
        <v>5.3489349019108998E-3</v>
      </c>
      <c r="I133" s="1">
        <f t="shared" si="11"/>
        <v>5.3489363660296999E-3</v>
      </c>
    </row>
    <row r="134" spans="1:9" x14ac:dyDescent="0.5">
      <c r="A134" t="s">
        <v>132</v>
      </c>
      <c r="B134" s="1">
        <v>4.9206218100000001</v>
      </c>
      <c r="C134" s="1">
        <v>4.9206218101599903</v>
      </c>
      <c r="D134" s="1">
        <v>4.9206218101599903</v>
      </c>
      <c r="E134" s="1">
        <v>4.9206218101599903</v>
      </c>
      <c r="F134" s="1">
        <f t="shared" si="8"/>
        <v>4.9206218101199921</v>
      </c>
      <c r="G134" s="1">
        <f t="shared" si="9"/>
        <v>7.9995121641619344E-11</v>
      </c>
      <c r="H134" s="1">
        <f t="shared" si="10"/>
        <v>4.9206218098800072</v>
      </c>
      <c r="I134" s="1">
        <f t="shared" si="11"/>
        <v>4.920621810359977</v>
      </c>
    </row>
    <row r="135" spans="1:9" x14ac:dyDescent="0.5">
      <c r="A135" t="s">
        <v>133</v>
      </c>
      <c r="B135" s="1">
        <v>0.17198603200000001</v>
      </c>
      <c r="C135" s="1">
        <v>0.171986032052376</v>
      </c>
      <c r="D135" s="1">
        <v>0.171986032052376</v>
      </c>
      <c r="E135" s="1">
        <v>0.171986032052376</v>
      </c>
      <c r="F135" s="1">
        <f t="shared" si="8"/>
        <v>0.17198603203928203</v>
      </c>
      <c r="G135" s="1">
        <f t="shared" si="9"/>
        <v>2.6187996216029037E-11</v>
      </c>
      <c r="H135" s="1">
        <f t="shared" si="10"/>
        <v>0.17198603196071804</v>
      </c>
      <c r="I135" s="1">
        <f t="shared" si="11"/>
        <v>0.17198603211784602</v>
      </c>
    </row>
    <row r="136" spans="1:9" x14ac:dyDescent="0.5">
      <c r="A136" t="s">
        <v>134</v>
      </c>
      <c r="B136" s="1">
        <v>4.9843622080000003</v>
      </c>
      <c r="C136" s="1">
        <v>4.9843622078979299</v>
      </c>
      <c r="D136" s="1">
        <v>4.9843622078979299</v>
      </c>
      <c r="E136" s="1">
        <v>4.9843622078979299</v>
      </c>
      <c r="F136" s="1">
        <f t="shared" si="8"/>
        <v>4.9843622079234482</v>
      </c>
      <c r="G136" s="1">
        <f t="shared" si="9"/>
        <v>5.1035176090975495E-11</v>
      </c>
      <c r="H136" s="1">
        <f t="shared" si="10"/>
        <v>4.9843622077703422</v>
      </c>
      <c r="I136" s="1">
        <f t="shared" si="11"/>
        <v>4.9843622080765542</v>
      </c>
    </row>
    <row r="137" spans="1:9" x14ac:dyDescent="0.5">
      <c r="A137" t="s">
        <v>135</v>
      </c>
      <c r="B137" s="1">
        <v>0.41857405800000003</v>
      </c>
      <c r="C137" s="1">
        <v>0.41857405752882698</v>
      </c>
      <c r="D137" s="1">
        <v>0.41857405752882698</v>
      </c>
      <c r="E137" s="1">
        <v>0.41857405752882698</v>
      </c>
      <c r="F137" s="1">
        <f t="shared" si="8"/>
        <v>0.41857405764662026</v>
      </c>
      <c r="G137" s="1">
        <f t="shared" si="9"/>
        <v>2.3558652251232156E-10</v>
      </c>
      <c r="H137" s="1">
        <f t="shared" si="10"/>
        <v>0.41857405693986072</v>
      </c>
      <c r="I137" s="1">
        <f t="shared" si="11"/>
        <v>0.4185740583533798</v>
      </c>
    </row>
    <row r="138" spans="1:9" x14ac:dyDescent="0.5">
      <c r="A138" t="s">
        <v>136</v>
      </c>
      <c r="B138" s="1">
        <v>2800.4885669999999</v>
      </c>
      <c r="C138" s="1">
        <v>4351.9549131393396</v>
      </c>
      <c r="D138" s="1">
        <v>4420.0233459472602</v>
      </c>
      <c r="E138" s="1">
        <v>3571.6102123260498</v>
      </c>
      <c r="F138" s="1">
        <f t="shared" si="8"/>
        <v>3786.0192596031625</v>
      </c>
      <c r="G138" s="1">
        <f t="shared" si="9"/>
        <v>761.46488889542627</v>
      </c>
      <c r="H138" s="1">
        <v>0</v>
      </c>
      <c r="I138" s="1">
        <v>100000000</v>
      </c>
    </row>
    <row r="139" spans="1:9" x14ac:dyDescent="0.5">
      <c r="A139" t="s">
        <v>137</v>
      </c>
      <c r="B139" s="1">
        <v>1443.2853889999999</v>
      </c>
      <c r="C139" s="1">
        <v>2810.9439464577699</v>
      </c>
      <c r="D139" s="1">
        <v>5959.8591936796201</v>
      </c>
      <c r="E139" s="1">
        <v>2004.8503063211599</v>
      </c>
      <c r="F139" s="1">
        <f t="shared" si="8"/>
        <v>3054.734708864637</v>
      </c>
      <c r="G139" s="1">
        <f t="shared" si="9"/>
        <v>2016.4497164821416</v>
      </c>
      <c r="H139" s="1">
        <v>0</v>
      </c>
      <c r="I139" s="1">
        <v>100000000</v>
      </c>
    </row>
    <row r="140" spans="1:9" x14ac:dyDescent="0.5">
      <c r="A140" t="s">
        <v>138</v>
      </c>
      <c r="B140" s="1">
        <v>-3.613966</v>
      </c>
      <c r="C140" s="1">
        <v>-3.613966</v>
      </c>
      <c r="D140" s="1">
        <v>-3.613966</v>
      </c>
      <c r="E140" s="1">
        <v>-3.613966</v>
      </c>
      <c r="F140" s="1">
        <f t="shared" si="8"/>
        <v>-3.613966</v>
      </c>
      <c r="G140" s="1">
        <f t="shared" si="9"/>
        <v>0</v>
      </c>
      <c r="H140" s="1">
        <f t="shared" si="10"/>
        <v>-3.613966</v>
      </c>
      <c r="I140" s="1">
        <f t="shared" si="11"/>
        <v>-3.613966</v>
      </c>
    </row>
    <row r="141" spans="1:9" x14ac:dyDescent="0.5">
      <c r="A141" t="s">
        <v>139</v>
      </c>
      <c r="B141" s="1">
        <v>0.360157279</v>
      </c>
      <c r="C141" s="1">
        <v>0.360157278612799</v>
      </c>
      <c r="D141" s="1">
        <v>0.360157278612799</v>
      </c>
      <c r="E141" s="1">
        <v>0.360157278612799</v>
      </c>
      <c r="F141" s="1">
        <f t="shared" si="8"/>
        <v>0.36015727870959924</v>
      </c>
      <c r="G141" s="1">
        <f t="shared" si="9"/>
        <v>1.9360049674510616E-10</v>
      </c>
      <c r="H141" s="1">
        <f t="shared" si="10"/>
        <v>0.36015727812879772</v>
      </c>
      <c r="I141" s="1">
        <f t="shared" si="11"/>
        <v>0.36015727929040076</v>
      </c>
    </row>
    <row r="142" spans="1:9" x14ac:dyDescent="0.5">
      <c r="A142" t="s">
        <v>140</v>
      </c>
      <c r="B142" s="1">
        <v>25.616</v>
      </c>
      <c r="C142" s="1">
        <v>25.616</v>
      </c>
      <c r="D142" s="1">
        <v>25.616</v>
      </c>
      <c r="E142" s="1">
        <v>25.616</v>
      </c>
      <c r="F142" s="1">
        <f t="shared" si="8"/>
        <v>25.616</v>
      </c>
      <c r="G142" s="1">
        <f t="shared" si="9"/>
        <v>0</v>
      </c>
      <c r="H142" s="1">
        <f t="shared" si="10"/>
        <v>25.616</v>
      </c>
      <c r="I142" s="1">
        <f t="shared" si="11"/>
        <v>25.616</v>
      </c>
    </row>
    <row r="143" spans="1:9" x14ac:dyDescent="0.5">
      <c r="A143" t="s">
        <v>141</v>
      </c>
      <c r="B143" s="1">
        <v>9.2244001910000009</v>
      </c>
      <c r="C143" s="1">
        <v>9.2244001912801306</v>
      </c>
      <c r="D143" s="1">
        <v>9.2244001912801306</v>
      </c>
      <c r="E143" s="1">
        <v>9.2244001912801306</v>
      </c>
      <c r="F143" s="1">
        <f t="shared" si="8"/>
        <v>9.2244001912100995</v>
      </c>
      <c r="G143" s="1">
        <f t="shared" si="9"/>
        <v>1.4006484861673823E-10</v>
      </c>
      <c r="H143" s="1">
        <f t="shared" si="10"/>
        <v>9.224400190789904</v>
      </c>
      <c r="I143" s="1">
        <f t="shared" si="11"/>
        <v>9.2244001916302949</v>
      </c>
    </row>
    <row r="144" spans="1:9" x14ac:dyDescent="0.5">
      <c r="A144" t="s">
        <v>142</v>
      </c>
      <c r="B144" s="1">
        <v>56.256300000000003</v>
      </c>
      <c r="C144" s="1">
        <v>56.256300000000003</v>
      </c>
      <c r="D144" s="1">
        <v>56.256300000000003</v>
      </c>
      <c r="E144" s="1">
        <v>56.256300000000003</v>
      </c>
      <c r="F144" s="1">
        <f t="shared" si="8"/>
        <v>56.256300000000003</v>
      </c>
      <c r="G144" s="1">
        <f t="shared" si="9"/>
        <v>0</v>
      </c>
      <c r="H144" s="1">
        <f t="shared" si="10"/>
        <v>56.256300000000003</v>
      </c>
      <c r="I144" s="1">
        <f t="shared" si="11"/>
        <v>56.256300000000003</v>
      </c>
    </row>
    <row r="145" spans="1:9" x14ac:dyDescent="0.5">
      <c r="A145" t="s">
        <v>143</v>
      </c>
      <c r="B145" s="1">
        <v>20.674078049999999</v>
      </c>
      <c r="C145" s="1">
        <v>20.6740780530703</v>
      </c>
      <c r="D145" s="1">
        <v>20.6740780530703</v>
      </c>
      <c r="E145" s="1">
        <v>20.6740780530703</v>
      </c>
      <c r="F145" s="1">
        <f t="shared" si="8"/>
        <v>20.674078052302725</v>
      </c>
      <c r="G145" s="1">
        <f t="shared" si="9"/>
        <v>1.5351506732489513E-9</v>
      </c>
      <c r="H145" s="1">
        <f t="shared" si="10"/>
        <v>20.674078047697272</v>
      </c>
      <c r="I145" s="1">
        <f t="shared" si="11"/>
        <v>20.674078056908179</v>
      </c>
    </row>
    <row r="146" spans="1:9" x14ac:dyDescent="0.5">
      <c r="A146" t="s">
        <v>144</v>
      </c>
      <c r="B146" s="1">
        <v>28.4864</v>
      </c>
      <c r="C146" s="1">
        <v>28.4864</v>
      </c>
      <c r="D146" s="1">
        <v>28.4864</v>
      </c>
      <c r="E146" s="1">
        <v>28.4864</v>
      </c>
      <c r="F146" s="1">
        <f t="shared" si="8"/>
        <v>28.4864</v>
      </c>
      <c r="G146" s="1">
        <f t="shared" si="9"/>
        <v>0</v>
      </c>
      <c r="H146" s="1">
        <f t="shared" si="10"/>
        <v>28.4864</v>
      </c>
      <c r="I146" s="1">
        <f t="shared" si="11"/>
        <v>28.4864</v>
      </c>
    </row>
    <row r="147" spans="1:9" x14ac:dyDescent="0.5">
      <c r="A147" t="s">
        <v>145</v>
      </c>
      <c r="B147" s="1">
        <v>2.9338420850000002</v>
      </c>
      <c r="C147" s="1">
        <v>2.9338420846694802</v>
      </c>
      <c r="D147" s="1">
        <v>2.9338420846694802</v>
      </c>
      <c r="E147" s="1">
        <v>2.9338420846694802</v>
      </c>
      <c r="F147" s="1">
        <f t="shared" si="8"/>
        <v>2.9338420847521105</v>
      </c>
      <c r="G147" s="1">
        <f t="shared" si="9"/>
        <v>1.6526002788497593E-10</v>
      </c>
      <c r="H147" s="1">
        <f t="shared" si="10"/>
        <v>2.9338420842563302</v>
      </c>
      <c r="I147" s="1">
        <f t="shared" si="11"/>
        <v>2.9338420852478908</v>
      </c>
    </row>
    <row r="148" spans="1:9" x14ac:dyDescent="0.5">
      <c r="A148" t="s">
        <v>146</v>
      </c>
      <c r="B148" s="1">
        <v>0.89570000000000005</v>
      </c>
      <c r="C148" s="1">
        <v>0.89570000000000005</v>
      </c>
      <c r="D148" s="1">
        <v>0.89570000000000005</v>
      </c>
      <c r="E148" s="1">
        <v>0.89570000000000005</v>
      </c>
      <c r="F148" s="1">
        <f t="shared" si="8"/>
        <v>0.89570000000000005</v>
      </c>
      <c r="G148" s="1">
        <f t="shared" si="9"/>
        <v>0</v>
      </c>
      <c r="H148" s="1">
        <f t="shared" si="10"/>
        <v>0.89570000000000005</v>
      </c>
      <c r="I148" s="1">
        <f t="shared" si="11"/>
        <v>0.89570000000000005</v>
      </c>
    </row>
    <row r="149" spans="1:9" x14ac:dyDescent="0.5">
      <c r="A149" t="s">
        <v>147</v>
      </c>
      <c r="B149" s="1">
        <v>0.32834333300000001</v>
      </c>
      <c r="C149" s="1">
        <v>0.32834333318105302</v>
      </c>
      <c r="D149" s="1">
        <v>0.32834333318105302</v>
      </c>
      <c r="E149" s="1">
        <v>0.32834333318105302</v>
      </c>
      <c r="F149" s="1">
        <f t="shared" si="8"/>
        <v>0.32834333313578978</v>
      </c>
      <c r="G149" s="1">
        <f t="shared" si="9"/>
        <v>9.0526502960487676E-11</v>
      </c>
      <c r="H149" s="1">
        <f t="shared" si="10"/>
        <v>0.32834333286421025</v>
      </c>
      <c r="I149" s="1">
        <f t="shared" si="11"/>
        <v>0.32834333340736932</v>
      </c>
    </row>
    <row r="150" spans="1:9" x14ac:dyDescent="0.5">
      <c r="A150" t="s">
        <v>148</v>
      </c>
      <c r="B150" s="1">
        <v>-47.876899999999999</v>
      </c>
      <c r="C150" s="1">
        <v>-47.876899999999999</v>
      </c>
      <c r="D150" s="1">
        <v>-47.876899999999999</v>
      </c>
      <c r="E150" s="1">
        <v>-47.876899999999999</v>
      </c>
      <c r="F150" s="1">
        <f t="shared" si="8"/>
        <v>-47.876899999999999</v>
      </c>
      <c r="G150" s="1">
        <f t="shared" si="9"/>
        <v>0</v>
      </c>
      <c r="H150" s="1">
        <f t="shared" si="10"/>
        <v>-47.876899999999999</v>
      </c>
      <c r="I150" s="1">
        <f t="shared" si="11"/>
        <v>-47.876899999999999</v>
      </c>
    </row>
    <row r="151" spans="1:9" x14ac:dyDescent="0.5">
      <c r="A151" t="s">
        <v>149</v>
      </c>
      <c r="B151" s="1">
        <v>55.014564929999999</v>
      </c>
      <c r="C151" s="1">
        <v>55.014564930974799</v>
      </c>
      <c r="D151" s="1">
        <v>55.014564930974799</v>
      </c>
      <c r="E151" s="1">
        <v>55.014564930974799</v>
      </c>
      <c r="F151" s="1">
        <f t="shared" si="8"/>
        <v>55.014564930731098</v>
      </c>
      <c r="G151" s="1">
        <f t="shared" si="9"/>
        <v>4.8740034231263554E-10</v>
      </c>
      <c r="H151" s="1">
        <f t="shared" si="10"/>
        <v>55.0145649292689</v>
      </c>
      <c r="I151" s="1">
        <f t="shared" si="11"/>
        <v>55.014564932193295</v>
      </c>
    </row>
    <row r="152" spans="1:9" x14ac:dyDescent="0.5">
      <c r="A152" t="s">
        <v>150</v>
      </c>
      <c r="B152" s="1">
        <v>0.84819999999999995</v>
      </c>
      <c r="C152" s="1">
        <v>0.84819999999999995</v>
      </c>
      <c r="D152" s="1">
        <v>0.84819999999999995</v>
      </c>
      <c r="E152" s="1">
        <v>0.84819999999999995</v>
      </c>
      <c r="F152" s="1">
        <f t="shared" si="8"/>
        <v>0.84819999999999995</v>
      </c>
      <c r="G152" s="1">
        <f t="shared" si="9"/>
        <v>0</v>
      </c>
      <c r="H152" s="1">
        <f t="shared" si="10"/>
        <v>0.84819999999999995</v>
      </c>
      <c r="I152" s="1">
        <f t="shared" si="11"/>
        <v>0.84819999999999995</v>
      </c>
    </row>
    <row r="153" spans="1:9" x14ac:dyDescent="0.5">
      <c r="A153" t="s">
        <v>151</v>
      </c>
      <c r="B153" s="1">
        <v>0.13750943400000001</v>
      </c>
      <c r="C153" s="1">
        <v>0.13750943401979501</v>
      </c>
      <c r="D153" s="1">
        <v>0.13750943401979501</v>
      </c>
      <c r="E153" s="1">
        <v>0.13750943401979501</v>
      </c>
      <c r="F153" s="1">
        <f t="shared" si="8"/>
        <v>0.13750943401484625</v>
      </c>
      <c r="G153" s="1">
        <f t="shared" si="9"/>
        <v>9.897499486668164E-12</v>
      </c>
      <c r="H153" s="1">
        <f t="shared" si="10"/>
        <v>0.13750943398515375</v>
      </c>
      <c r="I153" s="1">
        <f t="shared" si="11"/>
        <v>0.13750943404453875</v>
      </c>
    </row>
    <row r="154" spans="1:9" x14ac:dyDescent="0.5">
      <c r="A154" t="s">
        <v>152</v>
      </c>
      <c r="B154" s="1">
        <v>6.5688999999999997E-2</v>
      </c>
      <c r="C154" s="1">
        <v>6.5688999999999997E-2</v>
      </c>
      <c r="D154" s="1">
        <v>6.5688999999999997E-2</v>
      </c>
      <c r="E154" s="1">
        <v>6.5688999999999997E-2</v>
      </c>
      <c r="F154" s="1">
        <f t="shared" si="8"/>
        <v>6.5688999999999997E-2</v>
      </c>
      <c r="G154" s="1">
        <f t="shared" si="9"/>
        <v>0</v>
      </c>
      <c r="H154" s="1">
        <f t="shared" si="10"/>
        <v>6.5688999999999997E-2</v>
      </c>
      <c r="I154" s="1">
        <f t="shared" si="11"/>
        <v>6.5688999999999997E-2</v>
      </c>
    </row>
    <row r="155" spans="1:9" x14ac:dyDescent="0.5">
      <c r="A155" t="s">
        <v>153</v>
      </c>
      <c r="B155" s="1">
        <v>0.654972899</v>
      </c>
      <c r="C155" s="1">
        <v>0.65497289929431401</v>
      </c>
      <c r="D155" s="1">
        <v>0.65497289929431401</v>
      </c>
      <c r="E155" s="1">
        <v>0.65497289929431401</v>
      </c>
      <c r="F155" s="1">
        <f t="shared" si="8"/>
        <v>0.65497289922073554</v>
      </c>
      <c r="G155" s="1">
        <f t="shared" si="9"/>
        <v>1.4715700880075027E-10</v>
      </c>
      <c r="H155" s="1">
        <f t="shared" si="10"/>
        <v>0.65497289877926446</v>
      </c>
      <c r="I155" s="1">
        <f t="shared" si="11"/>
        <v>0.65497289966220662</v>
      </c>
    </row>
    <row r="156" spans="1:9" x14ac:dyDescent="0.5">
      <c r="A156" t="s">
        <v>154</v>
      </c>
      <c r="B156" s="1">
        <v>16.057333329999999</v>
      </c>
      <c r="C156" s="1">
        <v>16.0573333333333</v>
      </c>
      <c r="D156" s="1">
        <v>16.0573333333333</v>
      </c>
      <c r="E156" s="1">
        <v>16.0573333333333</v>
      </c>
      <c r="F156" s="1">
        <f t="shared" si="8"/>
        <v>16.057333332499976</v>
      </c>
      <c r="G156" s="1">
        <f t="shared" si="9"/>
        <v>1.666650817356046E-9</v>
      </c>
      <c r="H156" s="1">
        <f t="shared" si="10"/>
        <v>16.057333327500025</v>
      </c>
      <c r="I156" s="1">
        <f t="shared" si="11"/>
        <v>16.057333337499927</v>
      </c>
    </row>
    <row r="157" spans="1:9" x14ac:dyDescent="0.5">
      <c r="A157" t="s">
        <v>155</v>
      </c>
      <c r="B157" s="1">
        <v>1.738605116</v>
      </c>
      <c r="C157" s="1">
        <v>1.7386051161778999</v>
      </c>
      <c r="D157" s="1">
        <v>1.7386051161778999</v>
      </c>
      <c r="E157" s="1">
        <v>1.7386051161778999</v>
      </c>
      <c r="F157" s="1">
        <f t="shared" si="8"/>
        <v>1.7386051161334251</v>
      </c>
      <c r="G157" s="1">
        <f t="shared" si="9"/>
        <v>8.8949958510035303E-11</v>
      </c>
      <c r="H157" s="1">
        <f t="shared" si="10"/>
        <v>1.7386051158665752</v>
      </c>
      <c r="I157" s="1">
        <f t="shared" si="11"/>
        <v>1.7386051164002749</v>
      </c>
    </row>
    <row r="158" spans="1:9" x14ac:dyDescent="0.5">
      <c r="A158" t="s">
        <v>156</v>
      </c>
      <c r="B158" s="1">
        <v>22.90966667</v>
      </c>
      <c r="C158" s="1">
        <v>22.909666666666599</v>
      </c>
      <c r="D158" s="1">
        <v>22.909666666666599</v>
      </c>
      <c r="E158" s="1">
        <v>22.909666666666599</v>
      </c>
      <c r="F158" s="1">
        <f t="shared" si="8"/>
        <v>22.909666667499948</v>
      </c>
      <c r="G158" s="1">
        <f t="shared" si="9"/>
        <v>1.6667005553475492E-9</v>
      </c>
      <c r="H158" s="1">
        <f t="shared" si="10"/>
        <v>22.909666662499845</v>
      </c>
      <c r="I158" s="1">
        <f t="shared" si="11"/>
        <v>22.909666672500052</v>
      </c>
    </row>
    <row r="159" spans="1:9" x14ac:dyDescent="0.5">
      <c r="A159" t="s">
        <v>157</v>
      </c>
      <c r="B159" s="1">
        <v>3.3054642259999998</v>
      </c>
      <c r="C159" s="1">
        <v>3.3054642260959302</v>
      </c>
      <c r="D159" s="1">
        <v>3.3054642260959302</v>
      </c>
      <c r="E159" s="1">
        <v>3.3054642260959302</v>
      </c>
      <c r="F159" s="1">
        <f t="shared" si="8"/>
        <v>3.3054642260719476</v>
      </c>
      <c r="G159" s="1">
        <f t="shared" si="9"/>
        <v>4.7965187377485563E-11</v>
      </c>
      <c r="H159" s="1">
        <f t="shared" si="10"/>
        <v>3.305464225928052</v>
      </c>
      <c r="I159" s="1">
        <f t="shared" si="11"/>
        <v>3.3054642262158431</v>
      </c>
    </row>
    <row r="160" spans="1:9" x14ac:dyDescent="0.5">
      <c r="A160" t="s">
        <v>158</v>
      </c>
      <c r="B160" s="1">
        <v>29.844222219999999</v>
      </c>
      <c r="C160" s="1">
        <v>29.8442222222222</v>
      </c>
      <c r="D160" s="1">
        <v>29.8442222222222</v>
      </c>
      <c r="E160" s="1">
        <v>29.8442222222222</v>
      </c>
      <c r="F160" s="1">
        <f t="shared" si="8"/>
        <v>29.844222221666652</v>
      </c>
      <c r="G160" s="1">
        <f t="shared" si="9"/>
        <v>1.1111005449057135E-9</v>
      </c>
      <c r="H160" s="1">
        <f t="shared" si="10"/>
        <v>29.84422221833335</v>
      </c>
      <c r="I160" s="1">
        <f t="shared" si="11"/>
        <v>29.844222224999953</v>
      </c>
    </row>
    <row r="161" spans="1:9" x14ac:dyDescent="0.5">
      <c r="A161" t="s">
        <v>159</v>
      </c>
      <c r="B161" s="1">
        <v>14.80335096</v>
      </c>
      <c r="C161" s="1">
        <v>14.803350961672299</v>
      </c>
      <c r="D161" s="1">
        <v>14.803350961672299</v>
      </c>
      <c r="E161" s="1">
        <v>14.803350961672299</v>
      </c>
      <c r="F161" s="1">
        <f t="shared" si="8"/>
        <v>14.803350961254225</v>
      </c>
      <c r="G161" s="1">
        <f t="shared" si="9"/>
        <v>8.3614981605266886E-10</v>
      </c>
      <c r="H161" s="1">
        <f t="shared" si="10"/>
        <v>14.803350958745774</v>
      </c>
      <c r="I161" s="1">
        <f t="shared" si="11"/>
        <v>14.803350963762675</v>
      </c>
    </row>
    <row r="162" spans="1:9" x14ac:dyDescent="0.5">
      <c r="A162" t="s">
        <v>160</v>
      </c>
      <c r="B162" s="1">
        <v>0.56155555599999996</v>
      </c>
      <c r="C162" s="1">
        <v>0.56155555555555503</v>
      </c>
      <c r="D162" s="1">
        <v>0.56155555555555503</v>
      </c>
      <c r="E162" s="1">
        <v>0.56155555555555503</v>
      </c>
      <c r="F162" s="1">
        <f t="shared" si="8"/>
        <v>0.56155555566666626</v>
      </c>
      <c r="G162" s="1">
        <f t="shared" si="9"/>
        <v>2.2222246265357626E-10</v>
      </c>
      <c r="H162" s="1">
        <f t="shared" si="10"/>
        <v>0.56155555499999887</v>
      </c>
      <c r="I162" s="1">
        <f t="shared" si="11"/>
        <v>0.56155555633333365</v>
      </c>
    </row>
    <row r="163" spans="1:9" x14ac:dyDescent="0.5">
      <c r="A163" t="s">
        <v>161</v>
      </c>
      <c r="B163" s="1">
        <v>6.0150044E-2</v>
      </c>
      <c r="C163" s="1">
        <v>6.0150043871785901E-2</v>
      </c>
      <c r="D163" s="1">
        <v>6.0150043871785901E-2</v>
      </c>
      <c r="E163" s="1">
        <v>6.0150043871785901E-2</v>
      </c>
      <c r="F163" s="1">
        <f t="shared" si="8"/>
        <v>6.0150043903839427E-2</v>
      </c>
      <c r="G163" s="1">
        <f t="shared" si="9"/>
        <v>6.4107049529971175E-11</v>
      </c>
      <c r="H163" s="1">
        <f t="shared" si="10"/>
        <v>6.0150043711518275E-2</v>
      </c>
      <c r="I163" s="1">
        <f t="shared" si="11"/>
        <v>6.0150044096160579E-2</v>
      </c>
    </row>
    <row r="164" spans="1:9" x14ac:dyDescent="0.5">
      <c r="A164" t="s">
        <v>162</v>
      </c>
      <c r="B164" s="1">
        <v>40.204888889999999</v>
      </c>
      <c r="C164" s="1">
        <v>40.204888888888803</v>
      </c>
      <c r="D164" s="1">
        <v>40.204888888888803</v>
      </c>
      <c r="E164" s="1">
        <v>40.204888888888803</v>
      </c>
      <c r="F164" s="1">
        <f t="shared" si="8"/>
        <v>40.204888889166604</v>
      </c>
      <c r="G164" s="1">
        <f t="shared" si="9"/>
        <v>5.5559823409036015E-10</v>
      </c>
      <c r="H164" s="1">
        <f t="shared" si="10"/>
        <v>40.204888887499806</v>
      </c>
      <c r="I164" s="1">
        <f t="shared" si="11"/>
        <v>40.204888890833402</v>
      </c>
    </row>
    <row r="165" spans="1:9" x14ac:dyDescent="0.5">
      <c r="A165" t="s">
        <v>163</v>
      </c>
      <c r="B165" s="1">
        <v>10.146174090000001</v>
      </c>
      <c r="C165" s="1">
        <v>10.146174087364701</v>
      </c>
      <c r="D165" s="1">
        <v>10.146174087364701</v>
      </c>
      <c r="E165" s="1">
        <v>10.146174087364701</v>
      </c>
      <c r="F165" s="1">
        <f t="shared" si="8"/>
        <v>10.146174088023525</v>
      </c>
      <c r="G165" s="1">
        <f t="shared" si="9"/>
        <v>1.3176499891191623E-9</v>
      </c>
      <c r="H165" s="1">
        <f t="shared" si="10"/>
        <v>10.146174084070575</v>
      </c>
      <c r="I165" s="1">
        <f t="shared" si="11"/>
        <v>10.146174091976475</v>
      </c>
    </row>
    <row r="166" spans="1:9" x14ac:dyDescent="0.5">
      <c r="A166" t="s">
        <v>164</v>
      </c>
      <c r="B166" s="1">
        <v>0.97733333300000003</v>
      </c>
      <c r="C166" s="1">
        <v>0.97733333333333305</v>
      </c>
      <c r="D166" s="1">
        <v>0.97733333333333305</v>
      </c>
      <c r="E166" s="1">
        <v>0.97733333333333305</v>
      </c>
      <c r="F166" s="1">
        <f t="shared" si="8"/>
        <v>0.97733333324999982</v>
      </c>
      <c r="G166" s="1">
        <f t="shared" si="9"/>
        <v>1.6666651392327788E-10</v>
      </c>
      <c r="H166" s="1">
        <f t="shared" si="10"/>
        <v>0.97733333275000023</v>
      </c>
      <c r="I166" s="1">
        <f t="shared" si="11"/>
        <v>0.97733333374999942</v>
      </c>
    </row>
    <row r="167" spans="1:9" x14ac:dyDescent="0.5">
      <c r="A167" t="s">
        <v>165</v>
      </c>
      <c r="B167" s="1">
        <v>8.7034480000000008E-3</v>
      </c>
      <c r="C167" s="1">
        <v>8.7034475927646009E-3</v>
      </c>
      <c r="D167" s="1">
        <v>8.7034475927646009E-3</v>
      </c>
      <c r="E167" s="1">
        <v>8.7034475927646009E-3</v>
      </c>
      <c r="F167" s="1">
        <f t="shared" si="8"/>
        <v>8.7034476945734504E-3</v>
      </c>
      <c r="G167" s="1">
        <f t="shared" si="9"/>
        <v>2.036176999578587E-10</v>
      </c>
      <c r="H167" s="1">
        <f t="shared" si="10"/>
        <v>8.7034470837203497E-3</v>
      </c>
      <c r="I167" s="1">
        <f t="shared" si="11"/>
        <v>8.7034483054265512E-3</v>
      </c>
    </row>
    <row r="168" spans="1:9" x14ac:dyDescent="0.5">
      <c r="A168" t="s">
        <v>166</v>
      </c>
      <c r="B168" s="1">
        <v>9.6803018880000007</v>
      </c>
      <c r="C168" s="1">
        <v>9.6803018883508596</v>
      </c>
      <c r="D168" s="1">
        <v>9.6803018883508596</v>
      </c>
      <c r="E168" s="1">
        <v>9.6803018883508596</v>
      </c>
      <c r="F168" s="1">
        <f t="shared" si="8"/>
        <v>9.6803018882631449</v>
      </c>
      <c r="G168" s="1">
        <f t="shared" si="9"/>
        <v>1.7542944874548994E-10</v>
      </c>
      <c r="H168" s="1">
        <f t="shared" si="10"/>
        <v>9.6803018877368565</v>
      </c>
      <c r="I168" s="1">
        <f t="shared" si="11"/>
        <v>9.6803018887894332</v>
      </c>
    </row>
    <row r="169" spans="1:9" x14ac:dyDescent="0.5">
      <c r="A169" t="s">
        <v>167</v>
      </c>
      <c r="B169" s="1">
        <v>3.5574916380000001</v>
      </c>
      <c r="C169" s="1">
        <v>3.5574916376841301</v>
      </c>
      <c r="D169" s="1">
        <v>3.5574916376841301</v>
      </c>
      <c r="E169" s="1">
        <v>3.5574916376841301</v>
      </c>
      <c r="F169" s="1">
        <f t="shared" si="8"/>
        <v>3.5574916377630976</v>
      </c>
      <c r="G169" s="1">
        <f t="shared" si="9"/>
        <v>1.5793499841265657E-10</v>
      </c>
      <c r="H169" s="1">
        <f t="shared" si="10"/>
        <v>3.5574916372892926</v>
      </c>
      <c r="I169" s="1">
        <f t="shared" si="11"/>
        <v>3.5574916382369026</v>
      </c>
    </row>
    <row r="170" spans="1:9" x14ac:dyDescent="0.5">
      <c r="A170" t="s">
        <v>168</v>
      </c>
      <c r="B170" s="1">
        <v>3.9421805110000001</v>
      </c>
      <c r="C170" s="1">
        <v>3.94218051124624</v>
      </c>
      <c r="D170" s="1">
        <v>3.94218051124624</v>
      </c>
      <c r="E170" s="1">
        <v>3.94218051124624</v>
      </c>
      <c r="F170" s="1">
        <f t="shared" si="8"/>
        <v>3.9421805111846804</v>
      </c>
      <c r="G170" s="1">
        <f t="shared" si="9"/>
        <v>1.2311995867324682E-10</v>
      </c>
      <c r="H170" s="1">
        <f t="shared" si="10"/>
        <v>3.9421805108153203</v>
      </c>
      <c r="I170" s="1">
        <f t="shared" si="11"/>
        <v>3.9421805115540405</v>
      </c>
    </row>
    <row r="171" spans="1:9" x14ac:dyDescent="0.5">
      <c r="A171" t="s">
        <v>169</v>
      </c>
      <c r="B171" s="1">
        <v>0.56878770199999995</v>
      </c>
      <c r="C171" s="1">
        <v>0.56878770181744398</v>
      </c>
      <c r="D171" s="1">
        <v>0.56878770181744398</v>
      </c>
      <c r="E171" s="1">
        <v>0.56878770181744398</v>
      </c>
      <c r="F171" s="1">
        <f t="shared" si="8"/>
        <v>0.56878770186308303</v>
      </c>
      <c r="G171" s="1">
        <f t="shared" si="9"/>
        <v>9.1277985170301922E-11</v>
      </c>
      <c r="H171" s="1">
        <f t="shared" si="10"/>
        <v>0.56878770158924907</v>
      </c>
      <c r="I171" s="1">
        <f t="shared" si="11"/>
        <v>0.56878770213691698</v>
      </c>
    </row>
    <row r="172" spans="1:9" x14ac:dyDescent="0.5">
      <c r="A172" t="s">
        <v>170</v>
      </c>
      <c r="B172" s="1">
        <v>53.15978527</v>
      </c>
      <c r="C172" s="1">
        <v>37.095689773559499</v>
      </c>
      <c r="D172" s="1">
        <v>34.358072280883697</v>
      </c>
      <c r="E172" s="1">
        <v>147.34303951263399</v>
      </c>
      <c r="F172" s="1">
        <f t="shared" si="8"/>
        <v>67.989146709269306</v>
      </c>
      <c r="G172" s="1">
        <f t="shared" si="9"/>
        <v>53.548747611842877</v>
      </c>
      <c r="H172" s="1">
        <v>0</v>
      </c>
      <c r="I172" s="1">
        <v>100000000</v>
      </c>
    </row>
    <row r="173" spans="1:9" x14ac:dyDescent="0.5">
      <c r="A173" t="s">
        <v>171</v>
      </c>
      <c r="B173" s="1">
        <v>13.70296746</v>
      </c>
      <c r="C173" s="1">
        <v>6.1235979726813898</v>
      </c>
      <c r="D173" s="1">
        <v>5.6594322852086503</v>
      </c>
      <c r="E173" s="1">
        <v>32.998311224670502</v>
      </c>
      <c r="F173" s="1">
        <f t="shared" si="8"/>
        <v>14.621077235640136</v>
      </c>
      <c r="G173" s="1">
        <f t="shared" si="9"/>
        <v>12.794320207155815</v>
      </c>
      <c r="H173" s="1">
        <v>0</v>
      </c>
      <c r="I173" s="1">
        <v>100000000</v>
      </c>
    </row>
    <row r="174" spans="1:9" x14ac:dyDescent="0.5">
      <c r="A174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f t="shared" si="8"/>
        <v>0</v>
      </c>
      <c r="G174" s="1">
        <f t="shared" si="9"/>
        <v>0</v>
      </c>
      <c r="H174" s="1">
        <f t="shared" si="10"/>
        <v>0</v>
      </c>
      <c r="I174" s="1">
        <f t="shared" si="11"/>
        <v>0</v>
      </c>
    </row>
    <row r="175" spans="1:9" x14ac:dyDescent="0.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f t="shared" si="8"/>
        <v>0</v>
      </c>
      <c r="G175" s="1">
        <f t="shared" si="9"/>
        <v>0</v>
      </c>
      <c r="H175" s="1">
        <f t="shared" si="10"/>
        <v>0</v>
      </c>
      <c r="I175" s="1">
        <f t="shared" si="11"/>
        <v>0</v>
      </c>
    </row>
    <row r="176" spans="1:9" x14ac:dyDescent="0.5">
      <c r="A176" t="s">
        <v>174</v>
      </c>
      <c r="B176" s="1">
        <v>12.2966</v>
      </c>
      <c r="C176" s="1">
        <v>12.2966</v>
      </c>
      <c r="D176" s="1">
        <v>12.2966</v>
      </c>
      <c r="E176" s="1">
        <v>12.2966</v>
      </c>
      <c r="F176" s="1">
        <f t="shared" si="8"/>
        <v>12.2966</v>
      </c>
      <c r="G176" s="1">
        <f t="shared" si="9"/>
        <v>0</v>
      </c>
      <c r="H176" s="1">
        <f t="shared" si="10"/>
        <v>12.2966</v>
      </c>
      <c r="I176" s="1">
        <f t="shared" si="11"/>
        <v>12.2966</v>
      </c>
    </row>
    <row r="177" spans="1:9" x14ac:dyDescent="0.5">
      <c r="A177" t="s">
        <v>175</v>
      </c>
      <c r="B177" s="1">
        <v>6.9267917999999998E-2</v>
      </c>
      <c r="C177" s="1">
        <v>6.9267917858446201E-2</v>
      </c>
      <c r="D177" s="1">
        <v>6.9267917858446201E-2</v>
      </c>
      <c r="E177" s="1">
        <v>6.9267917858446201E-2</v>
      </c>
      <c r="F177" s="1">
        <f t="shared" si="8"/>
        <v>6.9267917893834657E-2</v>
      </c>
      <c r="G177" s="1">
        <f t="shared" si="9"/>
        <v>7.0776898231095683E-11</v>
      </c>
      <c r="H177" s="1">
        <f t="shared" si="10"/>
        <v>6.9267917681503963E-2</v>
      </c>
      <c r="I177" s="1">
        <f t="shared" si="11"/>
        <v>6.9267918106165352E-2</v>
      </c>
    </row>
    <row r="178" spans="1:9" x14ac:dyDescent="0.5">
      <c r="A178" t="s">
        <v>176</v>
      </c>
      <c r="B178" s="1">
        <v>17.329999999999998</v>
      </c>
      <c r="C178" s="1">
        <v>17.329999999999998</v>
      </c>
      <c r="D178" s="1">
        <v>17.329999999999998</v>
      </c>
      <c r="E178" s="1">
        <v>17.329999999999998</v>
      </c>
      <c r="F178" s="1">
        <f t="shared" si="8"/>
        <v>17.329999999999998</v>
      </c>
      <c r="G178" s="1">
        <f t="shared" si="9"/>
        <v>0</v>
      </c>
      <c r="H178" s="1">
        <f t="shared" si="10"/>
        <v>17.329999999999998</v>
      </c>
      <c r="I178" s="1">
        <f t="shared" si="11"/>
        <v>17.329999999999998</v>
      </c>
    </row>
    <row r="179" spans="1:9" x14ac:dyDescent="0.5">
      <c r="A179" t="s">
        <v>177</v>
      </c>
      <c r="B179" s="1">
        <v>0.206420822</v>
      </c>
      <c r="C179" s="1">
        <v>0.206420821516521</v>
      </c>
      <c r="D179" s="1">
        <v>0.206420821516521</v>
      </c>
      <c r="E179" s="1">
        <v>0.206420821516521</v>
      </c>
      <c r="F179" s="1">
        <f t="shared" si="8"/>
        <v>0.20642082163739073</v>
      </c>
      <c r="G179" s="1">
        <f t="shared" si="9"/>
        <v>2.4173950341488512E-10</v>
      </c>
      <c r="H179" s="1">
        <f t="shared" si="10"/>
        <v>0.20642082091217223</v>
      </c>
      <c r="I179" s="1">
        <f t="shared" si="11"/>
        <v>0.20642082236260922</v>
      </c>
    </row>
    <row r="180" spans="1:9" x14ac:dyDescent="0.5">
      <c r="A180" t="s">
        <v>178</v>
      </c>
      <c r="B180" s="1">
        <v>26.609500000000001</v>
      </c>
      <c r="C180" s="1">
        <v>26.609500000000001</v>
      </c>
      <c r="D180" s="1">
        <v>26.609500000000001</v>
      </c>
      <c r="E180" s="1">
        <v>26.609500000000001</v>
      </c>
      <c r="F180" s="1">
        <f t="shared" si="8"/>
        <v>26.609500000000001</v>
      </c>
      <c r="G180" s="1">
        <f t="shared" si="9"/>
        <v>0</v>
      </c>
      <c r="H180" s="1">
        <f t="shared" si="10"/>
        <v>26.609500000000001</v>
      </c>
      <c r="I180" s="1">
        <f t="shared" si="11"/>
        <v>26.609500000000001</v>
      </c>
    </row>
    <row r="181" spans="1:9" x14ac:dyDescent="0.5">
      <c r="A181" t="s">
        <v>179</v>
      </c>
      <c r="B181" s="1">
        <v>2.4351552650000001</v>
      </c>
      <c r="C181" s="1">
        <v>2.4351552654125901</v>
      </c>
      <c r="D181" s="1">
        <v>2.4351552654125901</v>
      </c>
      <c r="E181" s="1">
        <v>2.4351552654125901</v>
      </c>
      <c r="F181" s="1">
        <f t="shared" si="8"/>
        <v>2.4351552653094424</v>
      </c>
      <c r="G181" s="1">
        <f t="shared" si="9"/>
        <v>2.0629498109785817E-10</v>
      </c>
      <c r="H181" s="1">
        <f t="shared" si="10"/>
        <v>2.4351552646905574</v>
      </c>
      <c r="I181" s="1">
        <f t="shared" si="11"/>
        <v>2.4351552659283273</v>
      </c>
    </row>
    <row r="182" spans="1:9" x14ac:dyDescent="0.5">
      <c r="A182" t="s">
        <v>180</v>
      </c>
      <c r="B182" s="1">
        <v>0.4294</v>
      </c>
      <c r="C182" s="1">
        <v>0.429399999999999</v>
      </c>
      <c r="D182" s="1">
        <v>0.429399999999999</v>
      </c>
      <c r="E182" s="1">
        <v>0.429399999999999</v>
      </c>
      <c r="F182" s="1">
        <f t="shared" si="8"/>
        <v>0.42939999999999923</v>
      </c>
      <c r="G182" s="1">
        <f t="shared" si="9"/>
        <v>5.0062728993692732E-16</v>
      </c>
      <c r="H182" s="1">
        <f t="shared" si="10"/>
        <v>0.42939999999999773</v>
      </c>
      <c r="I182" s="1">
        <f t="shared" si="11"/>
        <v>0.42940000000000073</v>
      </c>
    </row>
    <row r="183" spans="1:9" x14ac:dyDescent="0.5">
      <c r="A183" t="s">
        <v>181</v>
      </c>
      <c r="B183" s="1">
        <v>5.9104429999999996E-3</v>
      </c>
      <c r="C183" s="1">
        <v>5.9104427358137E-3</v>
      </c>
      <c r="D183" s="1">
        <v>5.9104427358137E-3</v>
      </c>
      <c r="E183" s="1">
        <v>5.9104427358137E-3</v>
      </c>
      <c r="F183" s="1">
        <f t="shared" si="8"/>
        <v>5.9104428018602754E-3</v>
      </c>
      <c r="G183" s="1">
        <f t="shared" si="9"/>
        <v>1.320931497864053E-10</v>
      </c>
      <c r="H183" s="1">
        <f t="shared" si="10"/>
        <v>5.910442405580826E-3</v>
      </c>
      <c r="I183" s="1">
        <f t="shared" si="11"/>
        <v>5.9104431981397247E-3</v>
      </c>
    </row>
    <row r="184" spans="1:9" x14ac:dyDescent="0.5">
      <c r="A184" t="s">
        <v>182</v>
      </c>
      <c r="B184" s="1">
        <v>54.514600000000002</v>
      </c>
      <c r="C184" s="1">
        <v>54.514600000000002</v>
      </c>
      <c r="D184" s="1">
        <v>54.514600000000002</v>
      </c>
      <c r="E184" s="1">
        <v>54.514600000000002</v>
      </c>
      <c r="F184" s="1">
        <f t="shared" si="8"/>
        <v>54.514600000000002</v>
      </c>
      <c r="G184" s="1">
        <f t="shared" si="9"/>
        <v>0</v>
      </c>
      <c r="H184" s="1">
        <f t="shared" si="10"/>
        <v>54.514600000000002</v>
      </c>
      <c r="I184" s="1">
        <f t="shared" si="11"/>
        <v>54.514600000000002</v>
      </c>
    </row>
    <row r="185" spans="1:9" x14ac:dyDescent="0.5">
      <c r="A185" t="s">
        <v>183</v>
      </c>
      <c r="B185" s="1">
        <v>0.68664210299999995</v>
      </c>
      <c r="C185" s="1">
        <v>0.68664210312052398</v>
      </c>
      <c r="D185" s="1">
        <v>0.68664210312052398</v>
      </c>
      <c r="E185" s="1">
        <v>0.68664210312052398</v>
      </c>
      <c r="F185" s="1">
        <f t="shared" si="8"/>
        <v>0.68664210309039297</v>
      </c>
      <c r="G185" s="1">
        <f t="shared" si="9"/>
        <v>6.0262017598233797E-11</v>
      </c>
      <c r="H185" s="1">
        <f t="shared" si="10"/>
        <v>0.68664210290960692</v>
      </c>
      <c r="I185" s="1">
        <f t="shared" si="11"/>
        <v>0.68664210327117903</v>
      </c>
    </row>
    <row r="186" spans="1:9" x14ac:dyDescent="0.5">
      <c r="A186" t="s">
        <v>184</v>
      </c>
      <c r="B186" s="1">
        <v>0.98770000000000002</v>
      </c>
      <c r="C186" s="1">
        <v>0.98770000000000002</v>
      </c>
      <c r="D186" s="1">
        <v>0.98770000000000002</v>
      </c>
      <c r="E186" s="1">
        <v>0.98770000000000002</v>
      </c>
      <c r="F186" s="1">
        <f t="shared" si="8"/>
        <v>0.98770000000000002</v>
      </c>
      <c r="G186" s="1">
        <f t="shared" si="9"/>
        <v>0</v>
      </c>
      <c r="H186" s="1">
        <f t="shared" si="10"/>
        <v>0.98770000000000002</v>
      </c>
      <c r="I186" s="1">
        <f t="shared" si="11"/>
        <v>0.98770000000000002</v>
      </c>
    </row>
    <row r="187" spans="1:9" x14ac:dyDescent="0.5">
      <c r="A187" t="s">
        <v>185</v>
      </c>
      <c r="B187" s="1">
        <v>4.83046E-4</v>
      </c>
      <c r="C187" s="1">
        <v>4.8304589153959999E-4</v>
      </c>
      <c r="D187" s="1">
        <v>4.8304589153959999E-4</v>
      </c>
      <c r="E187" s="1">
        <v>4.8304589153959999E-4</v>
      </c>
      <c r="F187" s="1">
        <f t="shared" si="8"/>
        <v>4.8304591865470003E-4</v>
      </c>
      <c r="G187" s="1">
        <f t="shared" si="9"/>
        <v>5.4230200001838605E-11</v>
      </c>
      <c r="H187" s="1">
        <f t="shared" si="10"/>
        <v>4.830457559641E-4</v>
      </c>
      <c r="I187" s="1">
        <f t="shared" si="11"/>
        <v>4.8304608134530007E-4</v>
      </c>
    </row>
    <row r="188" spans="1:9" x14ac:dyDescent="0.5">
      <c r="A188" t="s">
        <v>186</v>
      </c>
      <c r="B188" s="1">
        <v>-1.0165E-2</v>
      </c>
      <c r="C188" s="1">
        <v>-1.01649999999999E-2</v>
      </c>
      <c r="D188" s="1">
        <v>-1.01649999999999E-2</v>
      </c>
      <c r="E188" s="1">
        <v>-1.01649999999999E-2</v>
      </c>
      <c r="F188" s="1">
        <f t="shared" si="8"/>
        <v>-1.0164999999999924E-2</v>
      </c>
      <c r="G188" s="1">
        <f t="shared" si="9"/>
        <v>5.0316949490793396E-17</v>
      </c>
      <c r="H188" s="1">
        <f t="shared" si="10"/>
        <v>-1.0165000000000075E-2</v>
      </c>
      <c r="I188" s="1">
        <f t="shared" si="11"/>
        <v>-1.0164999999999773E-2</v>
      </c>
    </row>
    <row r="189" spans="1:9" x14ac:dyDescent="0.5">
      <c r="A189" t="s">
        <v>187</v>
      </c>
      <c r="B189" s="1">
        <v>0.84050221300000005</v>
      </c>
      <c r="C189" s="1">
        <v>0.84050221316715701</v>
      </c>
      <c r="D189" s="1">
        <v>0.84050221316715701</v>
      </c>
      <c r="E189" s="1">
        <v>0.84050221316715701</v>
      </c>
      <c r="F189" s="1">
        <f t="shared" si="8"/>
        <v>0.84050221312536777</v>
      </c>
      <c r="G189" s="1">
        <f t="shared" si="9"/>
        <v>8.3578477472201484E-11</v>
      </c>
      <c r="H189" s="1">
        <f t="shared" si="10"/>
        <v>0.84050221287463234</v>
      </c>
      <c r="I189" s="1">
        <f t="shared" si="11"/>
        <v>0.8405022133761032</v>
      </c>
    </row>
    <row r="190" spans="1:9" x14ac:dyDescent="0.5">
      <c r="A190" t="s">
        <v>188</v>
      </c>
      <c r="B190" s="1">
        <v>12.584300000000001</v>
      </c>
      <c r="C190" s="1">
        <v>12.584300000000001</v>
      </c>
      <c r="D190" s="1">
        <v>12.584300000000001</v>
      </c>
      <c r="E190" s="1">
        <v>12.584300000000001</v>
      </c>
      <c r="F190" s="1">
        <f t="shared" si="8"/>
        <v>12.584300000000001</v>
      </c>
      <c r="G190" s="1">
        <f t="shared" si="9"/>
        <v>0</v>
      </c>
      <c r="H190" s="1">
        <f t="shared" si="10"/>
        <v>12.584300000000001</v>
      </c>
      <c r="I190" s="1">
        <f t="shared" si="11"/>
        <v>12.584300000000001</v>
      </c>
    </row>
    <row r="191" spans="1:9" x14ac:dyDescent="0.5">
      <c r="A191" t="s">
        <v>189</v>
      </c>
      <c r="B191" s="1">
        <v>0.59832600700000005</v>
      </c>
      <c r="C191" s="1">
        <v>0.59832600738319097</v>
      </c>
      <c r="D191" s="1">
        <v>0.59832600738319097</v>
      </c>
      <c r="E191" s="1">
        <v>0.59832600738319097</v>
      </c>
      <c r="F191" s="1">
        <f t="shared" si="8"/>
        <v>0.59832600728739327</v>
      </c>
      <c r="G191" s="1">
        <f t="shared" si="9"/>
        <v>1.9159546171821076E-10</v>
      </c>
      <c r="H191" s="1">
        <f t="shared" si="10"/>
        <v>0.59832600671260683</v>
      </c>
      <c r="I191" s="1">
        <f t="shared" si="11"/>
        <v>0.59832600786217971</v>
      </c>
    </row>
    <row r="192" spans="1:9" x14ac:dyDescent="0.5">
      <c r="A192" t="s">
        <v>190</v>
      </c>
      <c r="B192" s="1">
        <v>17.706600000000002</v>
      </c>
      <c r="C192" s="1">
        <v>17.706600000000002</v>
      </c>
      <c r="D192" s="1">
        <v>17.706600000000002</v>
      </c>
      <c r="E192" s="1">
        <v>17.706600000000002</v>
      </c>
      <c r="F192" s="1">
        <f t="shared" si="8"/>
        <v>17.706600000000002</v>
      </c>
      <c r="G192" s="1">
        <f t="shared" si="9"/>
        <v>0</v>
      </c>
      <c r="H192" s="1">
        <f t="shared" si="10"/>
        <v>17.706600000000002</v>
      </c>
      <c r="I192" s="1">
        <f t="shared" si="11"/>
        <v>17.706600000000002</v>
      </c>
    </row>
    <row r="193" spans="1:9" x14ac:dyDescent="0.5">
      <c r="A193" t="s">
        <v>191</v>
      </c>
      <c r="B193" s="1">
        <v>1.8272600130000001</v>
      </c>
      <c r="C193" s="1">
        <v>1.8272600131222501</v>
      </c>
      <c r="D193" s="1">
        <v>1.8272600131222501</v>
      </c>
      <c r="E193" s="1">
        <v>1.8272600131222501</v>
      </c>
      <c r="F193" s="1">
        <f t="shared" si="8"/>
        <v>1.8272600130916874</v>
      </c>
      <c r="G193" s="1">
        <f t="shared" si="9"/>
        <v>6.1124993955577408E-11</v>
      </c>
      <c r="H193" s="1">
        <f t="shared" si="10"/>
        <v>1.8272600129083125</v>
      </c>
      <c r="I193" s="1">
        <f t="shared" si="11"/>
        <v>1.8272600132750623</v>
      </c>
    </row>
    <row r="194" spans="1:9" x14ac:dyDescent="0.5">
      <c r="A194" t="s">
        <v>192</v>
      </c>
      <c r="B194" s="1">
        <v>27.200900000000001</v>
      </c>
      <c r="C194" s="1">
        <v>27.200900000000001</v>
      </c>
      <c r="D194" s="1">
        <v>27.200900000000001</v>
      </c>
      <c r="E194" s="1">
        <v>27.200900000000001</v>
      </c>
      <c r="F194" s="1">
        <f t="shared" si="8"/>
        <v>27.200900000000001</v>
      </c>
      <c r="G194" s="1">
        <f t="shared" si="9"/>
        <v>0</v>
      </c>
      <c r="H194" s="1">
        <f t="shared" si="10"/>
        <v>27.200900000000001</v>
      </c>
      <c r="I194" s="1">
        <f t="shared" si="11"/>
        <v>27.200900000000001</v>
      </c>
    </row>
    <row r="195" spans="1:9" x14ac:dyDescent="0.5">
      <c r="A195" t="s">
        <v>193</v>
      </c>
      <c r="B195" s="1">
        <v>21.105975040000001</v>
      </c>
      <c r="C195" s="1">
        <v>21.105975043680001</v>
      </c>
      <c r="D195" s="1">
        <v>21.105975043680001</v>
      </c>
      <c r="E195" s="1">
        <v>21.105975043680001</v>
      </c>
      <c r="F195" s="1">
        <f t="shared" ref="F195:F258" si="12">AVERAGE(B195:E195)</f>
        <v>21.105975042760001</v>
      </c>
      <c r="G195" s="1">
        <f t="shared" ref="G195:G258" si="13">_xlfn.STDEV.S(B195:E195)</f>
        <v>1.8400001522422826E-9</v>
      </c>
      <c r="H195" s="1">
        <f t="shared" ref="H195:H258" si="14">F195-3*G195</f>
        <v>21.10597503724</v>
      </c>
      <c r="I195" s="1">
        <f t="shared" ref="I195:I258" si="15">F195+3*G195</f>
        <v>21.105975048280001</v>
      </c>
    </row>
    <row r="196" spans="1:9" x14ac:dyDescent="0.5">
      <c r="A196" t="s">
        <v>194</v>
      </c>
      <c r="B196" s="1">
        <v>0.4395</v>
      </c>
      <c r="C196" s="1">
        <v>0.4395</v>
      </c>
      <c r="D196" s="1">
        <v>0.4395</v>
      </c>
      <c r="E196" s="1">
        <v>0.4395</v>
      </c>
      <c r="F196" s="1">
        <f t="shared" si="12"/>
        <v>0.4395</v>
      </c>
      <c r="G196" s="1">
        <f t="shared" si="13"/>
        <v>0</v>
      </c>
      <c r="H196" s="1">
        <f t="shared" si="14"/>
        <v>0.4395</v>
      </c>
      <c r="I196" s="1">
        <f t="shared" si="15"/>
        <v>0.4395</v>
      </c>
    </row>
    <row r="197" spans="1:9" x14ac:dyDescent="0.5">
      <c r="A197" t="s">
        <v>195</v>
      </c>
      <c r="B197" s="1">
        <v>2.0587213E-2</v>
      </c>
      <c r="C197" s="1">
        <v>2.0587212859766401E-2</v>
      </c>
      <c r="D197" s="1">
        <v>2.0587212859766401E-2</v>
      </c>
      <c r="E197" s="1">
        <v>2.0587212859766401E-2</v>
      </c>
      <c r="F197" s="1">
        <f t="shared" si="12"/>
        <v>2.0587212894824802E-2</v>
      </c>
      <c r="G197" s="1">
        <f t="shared" si="13"/>
        <v>7.011679951929306E-11</v>
      </c>
      <c r="H197" s="1">
        <f t="shared" si="14"/>
        <v>2.0587212684474401E-2</v>
      </c>
      <c r="I197" s="1">
        <f t="shared" si="15"/>
        <v>2.0587213105175202E-2</v>
      </c>
    </row>
    <row r="198" spans="1:9" x14ac:dyDescent="0.5">
      <c r="A198" t="s">
        <v>196</v>
      </c>
      <c r="B198" s="1">
        <v>52.852699999999999</v>
      </c>
      <c r="C198" s="1">
        <v>52.852699999999899</v>
      </c>
      <c r="D198" s="1">
        <v>52.852699999999899</v>
      </c>
      <c r="E198" s="1">
        <v>52.852699999999899</v>
      </c>
      <c r="F198" s="1">
        <f t="shared" si="12"/>
        <v>52.852699999999928</v>
      </c>
      <c r="G198" s="1">
        <f t="shared" si="13"/>
        <v>4.9906881603821014E-14</v>
      </c>
      <c r="H198" s="1">
        <f t="shared" si="14"/>
        <v>52.852699999999778</v>
      </c>
      <c r="I198" s="1">
        <f t="shared" si="15"/>
        <v>52.852700000000077</v>
      </c>
    </row>
    <row r="199" spans="1:9" x14ac:dyDescent="0.5">
      <c r="A199" t="s">
        <v>197</v>
      </c>
      <c r="B199" s="1">
        <v>6.5729085740000004</v>
      </c>
      <c r="C199" s="1">
        <v>6.5729085740045203</v>
      </c>
      <c r="D199" s="1">
        <v>6.5729085740045203</v>
      </c>
      <c r="E199" s="1">
        <v>6.5729085740045203</v>
      </c>
      <c r="F199" s="1">
        <f t="shared" si="12"/>
        <v>6.5729085740033906</v>
      </c>
      <c r="G199" s="1">
        <f t="shared" si="13"/>
        <v>2.2599700034710576E-12</v>
      </c>
      <c r="H199" s="1">
        <f t="shared" si="14"/>
        <v>6.5729085739966102</v>
      </c>
      <c r="I199" s="1">
        <f t="shared" si="15"/>
        <v>6.5729085740101709</v>
      </c>
    </row>
    <row r="200" spans="1:9" x14ac:dyDescent="0.5">
      <c r="A200" t="s">
        <v>198</v>
      </c>
      <c r="B200" s="1">
        <v>0.98599999999999999</v>
      </c>
      <c r="C200" s="1">
        <v>0.98599999999999999</v>
      </c>
      <c r="D200" s="1">
        <v>0.98599999999999999</v>
      </c>
      <c r="E200" s="1">
        <v>0.98599999999999999</v>
      </c>
      <c r="F200" s="1">
        <f t="shared" si="12"/>
        <v>0.98599999999999999</v>
      </c>
      <c r="G200" s="1">
        <f t="shared" si="13"/>
        <v>0</v>
      </c>
      <c r="H200" s="1">
        <f t="shared" si="14"/>
        <v>0.98599999999999999</v>
      </c>
      <c r="I200" s="1">
        <f t="shared" si="15"/>
        <v>0.98599999999999999</v>
      </c>
    </row>
    <row r="201" spans="1:9" x14ac:dyDescent="0.5">
      <c r="A201" t="s">
        <v>199</v>
      </c>
      <c r="B201" s="1">
        <v>4.4721359999999998E-3</v>
      </c>
      <c r="C201" s="1">
        <v>4.4721359549995E-3</v>
      </c>
      <c r="D201" s="1">
        <v>4.4721359549995E-3</v>
      </c>
      <c r="E201" s="1">
        <v>4.4721359549995E-3</v>
      </c>
      <c r="F201" s="1">
        <f t="shared" si="12"/>
        <v>4.4721359662496249E-3</v>
      </c>
      <c r="G201" s="1">
        <f t="shared" si="13"/>
        <v>2.2500249927115412E-11</v>
      </c>
      <c r="H201" s="1">
        <f t="shared" si="14"/>
        <v>4.4721358987488751E-3</v>
      </c>
      <c r="I201" s="1">
        <f t="shared" si="15"/>
        <v>4.4721360337503747E-3</v>
      </c>
    </row>
    <row r="202" spans="1:9" x14ac:dyDescent="0.5">
      <c r="A202" t="s">
        <v>200</v>
      </c>
      <c r="B202" s="1">
        <v>2.982059462</v>
      </c>
      <c r="C202" s="1">
        <v>2.9820594622312599</v>
      </c>
      <c r="D202" s="1">
        <v>2.9820594622312599</v>
      </c>
      <c r="E202" s="1">
        <v>2.9820594622312599</v>
      </c>
      <c r="F202" s="1">
        <f t="shared" si="12"/>
        <v>2.9820594621734449</v>
      </c>
      <c r="G202" s="1">
        <f t="shared" si="13"/>
        <v>1.1562995005938605E-10</v>
      </c>
      <c r="H202" s="1">
        <f t="shared" si="14"/>
        <v>2.9820594618265552</v>
      </c>
      <c r="I202" s="1">
        <f t="shared" si="15"/>
        <v>2.9820594625203345</v>
      </c>
    </row>
    <row r="203" spans="1:9" x14ac:dyDescent="0.5">
      <c r="A203" t="s">
        <v>201</v>
      </c>
      <c r="B203" s="1">
        <v>3.5519859000000001E-2</v>
      </c>
      <c r="C203" s="1">
        <v>3.55198594347889E-2</v>
      </c>
      <c r="D203" s="1">
        <v>3.55198594347889E-2</v>
      </c>
      <c r="E203" s="1">
        <v>3.55198594347889E-2</v>
      </c>
      <c r="F203" s="1">
        <f t="shared" si="12"/>
        <v>3.5519859326091675E-2</v>
      </c>
      <c r="G203" s="1">
        <f t="shared" si="13"/>
        <v>2.1739444966417665E-10</v>
      </c>
      <c r="H203" s="1">
        <f t="shared" si="14"/>
        <v>3.5519858673908326E-2</v>
      </c>
      <c r="I203" s="1">
        <f t="shared" si="15"/>
        <v>3.5519859978275024E-2</v>
      </c>
    </row>
    <row r="204" spans="1:9" x14ac:dyDescent="0.5">
      <c r="A204" t="s">
        <v>202</v>
      </c>
      <c r="B204" s="1">
        <v>3.0468629009999999</v>
      </c>
      <c r="C204" s="1">
        <v>3.0468629009777199</v>
      </c>
      <c r="D204" s="1">
        <v>3.0468629009777199</v>
      </c>
      <c r="E204" s="1">
        <v>3.0468629009777199</v>
      </c>
      <c r="F204" s="1">
        <f t="shared" si="12"/>
        <v>3.0468629009832902</v>
      </c>
      <c r="G204" s="1">
        <f t="shared" si="13"/>
        <v>1.1139977832039384E-11</v>
      </c>
      <c r="H204" s="1">
        <f t="shared" si="14"/>
        <v>3.0468629009498702</v>
      </c>
      <c r="I204" s="1">
        <f t="shared" si="15"/>
        <v>3.0468629010167101</v>
      </c>
    </row>
    <row r="205" spans="1:9" x14ac:dyDescent="0.5">
      <c r="A205" t="s">
        <v>203</v>
      </c>
      <c r="B205" s="1">
        <v>0.31442573600000001</v>
      </c>
      <c r="C205" s="1">
        <v>0.31442573641592803</v>
      </c>
      <c r="D205" s="1">
        <v>0.31442573641592803</v>
      </c>
      <c r="E205" s="1">
        <v>0.31442573641592803</v>
      </c>
      <c r="F205" s="1">
        <f t="shared" si="12"/>
        <v>0.31442573631194598</v>
      </c>
      <c r="G205" s="1">
        <f t="shared" si="13"/>
        <v>2.0796400712619901E-10</v>
      </c>
      <c r="H205" s="1">
        <f t="shared" si="14"/>
        <v>0.31442573568805399</v>
      </c>
      <c r="I205" s="1">
        <f t="shared" si="15"/>
        <v>0.31442573693583797</v>
      </c>
    </row>
    <row r="206" spans="1:9" x14ac:dyDescent="0.5">
      <c r="A206" t="s">
        <v>204</v>
      </c>
      <c r="B206" s="1">
        <v>1241.500974</v>
      </c>
      <c r="C206" s="1">
        <v>903.48012447357098</v>
      </c>
      <c r="D206" s="1">
        <v>1524.65479373931</v>
      </c>
      <c r="E206" s="1">
        <v>1578.1259059905999</v>
      </c>
      <c r="F206" s="1">
        <f t="shared" si="12"/>
        <v>1311.9404495508702</v>
      </c>
      <c r="G206" s="1">
        <f t="shared" si="13"/>
        <v>309.78683333419258</v>
      </c>
      <c r="H206" s="1">
        <v>0</v>
      </c>
      <c r="I206" s="1">
        <v>100000000</v>
      </c>
    </row>
    <row r="207" spans="1:9" x14ac:dyDescent="0.5">
      <c r="A207" t="s">
        <v>205</v>
      </c>
      <c r="B207" s="1">
        <v>530.04049780000003</v>
      </c>
      <c r="C207" s="1">
        <v>465.37599833363601</v>
      </c>
      <c r="D207" s="1">
        <v>616.70385421310596</v>
      </c>
      <c r="E207" s="1">
        <v>458.25564774008001</v>
      </c>
      <c r="F207" s="1">
        <f t="shared" si="12"/>
        <v>517.59399952170543</v>
      </c>
      <c r="G207" s="1">
        <f t="shared" si="13"/>
        <v>73.542364789690396</v>
      </c>
      <c r="H207" s="1">
        <v>0</v>
      </c>
      <c r="I207" s="1">
        <v>100000000</v>
      </c>
    </row>
    <row r="208" spans="1:9" x14ac:dyDescent="0.5">
      <c r="A208" t="s">
        <v>206</v>
      </c>
      <c r="B208" s="1">
        <v>6.8612999999999993E-2</v>
      </c>
      <c r="C208" s="1">
        <v>-0.29852499999999998</v>
      </c>
      <c r="D208" s="1">
        <v>0.45555699999999999</v>
      </c>
      <c r="E208" s="1">
        <v>6.8612999999999993E-2</v>
      </c>
      <c r="F208" s="1">
        <f t="shared" si="12"/>
        <v>7.3564499999999991E-2</v>
      </c>
      <c r="G208" s="1">
        <f t="shared" si="13"/>
        <v>0.30790577604791158</v>
      </c>
      <c r="H208" s="1">
        <f t="shared" si="14"/>
        <v>-0.85015282814373472</v>
      </c>
      <c r="I208" s="1">
        <f t="shared" si="15"/>
        <v>0.99728182814373478</v>
      </c>
    </row>
    <row r="209" spans="1:9" x14ac:dyDescent="0.5">
      <c r="A209" t="s">
        <v>207</v>
      </c>
      <c r="B209" s="1">
        <v>0.925627961</v>
      </c>
      <c r="C209" s="1">
        <v>1.01785681703436</v>
      </c>
      <c r="D209" s="1">
        <v>1.4558645539491399</v>
      </c>
      <c r="E209" s="1">
        <v>0.92562796129678604</v>
      </c>
      <c r="F209" s="1">
        <f t="shared" si="12"/>
        <v>1.0812443233200715</v>
      </c>
      <c r="G209" s="1">
        <f t="shared" si="13"/>
        <v>0.25350292404677333</v>
      </c>
      <c r="H209" s="1">
        <f t="shared" si="14"/>
        <v>0.3207355511797515</v>
      </c>
      <c r="I209" s="1">
        <f t="shared" si="15"/>
        <v>1.8417530954603913</v>
      </c>
    </row>
    <row r="210" spans="1:9" x14ac:dyDescent="0.5">
      <c r="A210" t="s">
        <v>208</v>
      </c>
      <c r="B210" s="1">
        <v>19.732299999999999</v>
      </c>
      <c r="C210" s="1">
        <v>19.730399999999999</v>
      </c>
      <c r="D210" s="1">
        <v>19.7743</v>
      </c>
      <c r="E210" s="1">
        <v>19.732299999999999</v>
      </c>
      <c r="F210" s="1">
        <f t="shared" si="12"/>
        <v>19.742324999999997</v>
      </c>
      <c r="G210" s="1">
        <f t="shared" si="13"/>
        <v>2.133547515290032E-2</v>
      </c>
      <c r="H210" s="1">
        <f t="shared" si="14"/>
        <v>19.678318574541297</v>
      </c>
      <c r="I210" s="1">
        <f t="shared" si="15"/>
        <v>19.806331425458698</v>
      </c>
    </row>
    <row r="211" spans="1:9" x14ac:dyDescent="0.5">
      <c r="A211" t="s">
        <v>209</v>
      </c>
      <c r="B211" s="1">
        <v>0.23760427000000001</v>
      </c>
      <c r="C211" s="1">
        <v>0.215248280416411</v>
      </c>
      <c r="D211" s="1">
        <v>0.26966236090505602</v>
      </c>
      <c r="E211" s="1">
        <v>0.23760426950896499</v>
      </c>
      <c r="F211" s="1">
        <f t="shared" si="12"/>
        <v>0.240029795207608</v>
      </c>
      <c r="G211" s="1">
        <f t="shared" si="13"/>
        <v>2.2390316155333819E-2</v>
      </c>
      <c r="H211" s="1">
        <f t="shared" si="14"/>
        <v>0.17285884674160656</v>
      </c>
      <c r="I211" s="1">
        <f t="shared" si="15"/>
        <v>0.30720074367360944</v>
      </c>
    </row>
    <row r="212" spans="1:9" x14ac:dyDescent="0.5">
      <c r="A212" t="s">
        <v>210</v>
      </c>
      <c r="B212" s="1">
        <v>27.6096</v>
      </c>
      <c r="C212" s="1">
        <v>27.613399999999999</v>
      </c>
      <c r="D212" s="1">
        <v>27.644199999999898</v>
      </c>
      <c r="E212" s="1">
        <v>27.6096</v>
      </c>
      <c r="F212" s="1">
        <f t="shared" si="12"/>
        <v>27.619199999999974</v>
      </c>
      <c r="G212" s="1">
        <f t="shared" si="13"/>
        <v>1.6762656909481092E-2</v>
      </c>
      <c r="H212" s="1">
        <f t="shared" si="14"/>
        <v>27.56891202927153</v>
      </c>
      <c r="I212" s="1">
        <f t="shared" si="15"/>
        <v>27.669487970728419</v>
      </c>
    </row>
    <row r="213" spans="1:9" x14ac:dyDescent="0.5">
      <c r="A213" t="s">
        <v>211</v>
      </c>
      <c r="B213" s="1">
        <v>0.31345040400000002</v>
      </c>
      <c r="C213" s="1">
        <v>0.29856851065635698</v>
      </c>
      <c r="D213" s="1">
        <v>0.31464470262327399</v>
      </c>
      <c r="E213" s="1">
        <v>0.31345040366149701</v>
      </c>
      <c r="F213" s="1">
        <f t="shared" si="12"/>
        <v>0.31002850523528203</v>
      </c>
      <c r="G213" s="1">
        <f t="shared" si="13"/>
        <v>7.6607121964215657E-3</v>
      </c>
      <c r="H213" s="1">
        <f t="shared" si="14"/>
        <v>0.28704636864601735</v>
      </c>
      <c r="I213" s="1">
        <f t="shared" si="15"/>
        <v>0.3330106418245467</v>
      </c>
    </row>
    <row r="214" spans="1:9" x14ac:dyDescent="0.5">
      <c r="A214" t="s">
        <v>212</v>
      </c>
      <c r="B214" s="1">
        <v>50.158900000000003</v>
      </c>
      <c r="C214" s="1">
        <v>50.133400000000002</v>
      </c>
      <c r="D214" s="1">
        <v>50.250300000000003</v>
      </c>
      <c r="E214" s="1">
        <v>50.158900000000003</v>
      </c>
      <c r="F214" s="1">
        <f t="shared" si="12"/>
        <v>50.175375000000003</v>
      </c>
      <c r="G214" s="1">
        <f t="shared" si="13"/>
        <v>5.1376088796248734E-2</v>
      </c>
      <c r="H214" s="1">
        <f t="shared" si="14"/>
        <v>50.021246733611257</v>
      </c>
      <c r="I214" s="1">
        <f t="shared" si="15"/>
        <v>50.329503266388748</v>
      </c>
    </row>
    <row r="215" spans="1:9" x14ac:dyDescent="0.5">
      <c r="A215" t="s">
        <v>213</v>
      </c>
      <c r="B215" s="1">
        <v>6.3843724560000004</v>
      </c>
      <c r="C215" s="1">
        <v>6.40753260190258</v>
      </c>
      <c r="D215" s="1">
        <v>6.3865440150018102</v>
      </c>
      <c r="E215" s="1">
        <v>6.3843724558922403</v>
      </c>
      <c r="F215" s="1">
        <f t="shared" si="12"/>
        <v>6.3907053821991582</v>
      </c>
      <c r="G215" s="1">
        <f t="shared" si="13"/>
        <v>1.1264756392560867E-2</v>
      </c>
      <c r="H215" s="1">
        <f t="shared" si="14"/>
        <v>6.3569111130214759</v>
      </c>
      <c r="I215" s="1">
        <f t="shared" si="15"/>
        <v>6.4244996513768404</v>
      </c>
    </row>
    <row r="216" spans="1:9" x14ac:dyDescent="0.5">
      <c r="A216" t="s">
        <v>214</v>
      </c>
      <c r="B216" s="1">
        <v>0.68910000000000005</v>
      </c>
      <c r="C216" s="1">
        <v>0.68879999999999997</v>
      </c>
      <c r="D216" s="1">
        <v>0.69059999999999999</v>
      </c>
      <c r="E216" s="1">
        <v>0.68910000000000005</v>
      </c>
      <c r="F216" s="1">
        <f t="shared" si="12"/>
        <v>0.68940000000000001</v>
      </c>
      <c r="G216" s="1">
        <f t="shared" si="13"/>
        <v>8.1240384046358854E-4</v>
      </c>
      <c r="H216" s="1">
        <f t="shared" si="14"/>
        <v>0.68696278847860925</v>
      </c>
      <c r="I216" s="1">
        <f t="shared" si="15"/>
        <v>0.69183721152139077</v>
      </c>
    </row>
    <row r="217" spans="1:9" x14ac:dyDescent="0.5">
      <c r="A217" t="s">
        <v>215</v>
      </c>
      <c r="B217" s="1">
        <v>9.5736910000000005E-3</v>
      </c>
      <c r="C217" s="1">
        <v>9.1627264258819004E-3</v>
      </c>
      <c r="D217" s="1">
        <v>1.19182399893794E-2</v>
      </c>
      <c r="E217" s="1">
        <v>9.5736908011253997E-3</v>
      </c>
      <c r="F217" s="1">
        <f t="shared" si="12"/>
        <v>1.0057087054096674E-2</v>
      </c>
      <c r="G217" s="1">
        <f t="shared" si="13"/>
        <v>1.2558018506536152E-3</v>
      </c>
      <c r="H217" s="1">
        <f t="shared" si="14"/>
        <v>6.2896815021358287E-3</v>
      </c>
      <c r="I217" s="1">
        <f t="shared" si="15"/>
        <v>1.3824492606057521E-2</v>
      </c>
    </row>
    <row r="218" spans="1:9" x14ac:dyDescent="0.5">
      <c r="A218" t="s">
        <v>216</v>
      </c>
      <c r="B218" s="1">
        <v>27.535399999999999</v>
      </c>
      <c r="C218" s="1">
        <v>27.525300000000001</v>
      </c>
      <c r="D218" s="1">
        <v>27.4435</v>
      </c>
      <c r="E218" s="1">
        <v>27.535399999999999</v>
      </c>
      <c r="F218" s="1">
        <f t="shared" si="12"/>
        <v>27.509899999999998</v>
      </c>
      <c r="G218" s="1">
        <f t="shared" si="13"/>
        <v>4.4521979590609453E-2</v>
      </c>
      <c r="H218" s="1">
        <f t="shared" si="14"/>
        <v>27.376334061228171</v>
      </c>
      <c r="I218" s="1">
        <f t="shared" si="15"/>
        <v>27.643465938771826</v>
      </c>
    </row>
    <row r="219" spans="1:9" x14ac:dyDescent="0.5">
      <c r="A219" t="s">
        <v>217</v>
      </c>
      <c r="B219" s="1">
        <v>0.94065027199999995</v>
      </c>
      <c r="C219" s="1">
        <v>0.91675733490990396</v>
      </c>
      <c r="D219" s="1">
        <v>1.0199478472505801</v>
      </c>
      <c r="E219" s="1">
        <v>0.94065027153205705</v>
      </c>
      <c r="F219" s="1">
        <f t="shared" si="12"/>
        <v>0.95450143142313526</v>
      </c>
      <c r="G219" s="1">
        <f t="shared" si="13"/>
        <v>4.5061289425079198E-2</v>
      </c>
      <c r="H219" s="1">
        <f t="shared" si="14"/>
        <v>0.81931756314789772</v>
      </c>
      <c r="I219" s="1">
        <f t="shared" si="15"/>
        <v>1.0896852996983728</v>
      </c>
    </row>
    <row r="220" spans="1:9" x14ac:dyDescent="0.5">
      <c r="A220" t="s">
        <v>218</v>
      </c>
      <c r="B220" s="1">
        <v>0.96899999999999997</v>
      </c>
      <c r="C220" s="1">
        <v>0.96899999999999997</v>
      </c>
      <c r="D220" s="1">
        <v>0.96899999999999997</v>
      </c>
      <c r="E220" s="1">
        <v>0.96899999999999997</v>
      </c>
      <c r="F220" s="1">
        <f t="shared" si="12"/>
        <v>0.96899999999999997</v>
      </c>
      <c r="G220" s="1">
        <f t="shared" si="13"/>
        <v>0</v>
      </c>
      <c r="H220" s="1">
        <f t="shared" si="14"/>
        <v>0.96899999999999997</v>
      </c>
      <c r="I220" s="1">
        <f t="shared" si="15"/>
        <v>0.96899999999999997</v>
      </c>
    </row>
    <row r="221" spans="1:9" x14ac:dyDescent="0.5">
      <c r="A221" t="s">
        <v>219</v>
      </c>
      <c r="B221" s="1">
        <v>1.0540930000000001E-3</v>
      </c>
      <c r="C221" s="1">
        <v>1.0540925533894E-3</v>
      </c>
      <c r="D221" s="1">
        <v>1.0540925533894E-3</v>
      </c>
      <c r="E221" s="1">
        <v>1.0540925533894E-3</v>
      </c>
      <c r="F221" s="1">
        <f t="shared" si="12"/>
        <v>1.05409266504205E-3</v>
      </c>
      <c r="G221" s="1">
        <f t="shared" si="13"/>
        <v>2.2330530003236704E-10</v>
      </c>
      <c r="H221" s="1">
        <f t="shared" si="14"/>
        <v>1.0540919951261499E-3</v>
      </c>
      <c r="I221" s="1">
        <f t="shared" si="15"/>
        <v>1.0540933349579501E-3</v>
      </c>
    </row>
    <row r="222" spans="1:9" x14ac:dyDescent="0.5">
      <c r="A222" t="s">
        <v>220</v>
      </c>
      <c r="B222" s="1">
        <v>0.18778500000000001</v>
      </c>
      <c r="C222" s="1">
        <v>-0.17735000000000001</v>
      </c>
      <c r="D222" s="1">
        <v>0.53389900000000001</v>
      </c>
      <c r="E222" s="1">
        <v>0.18778499999999901</v>
      </c>
      <c r="F222" s="1">
        <f t="shared" si="12"/>
        <v>0.18302974999999974</v>
      </c>
      <c r="G222" s="1">
        <f t="shared" si="13"/>
        <v>0.2904181006817298</v>
      </c>
      <c r="H222" s="1">
        <f t="shared" si="14"/>
        <v>-0.68822455204518962</v>
      </c>
      <c r="I222" s="1">
        <f t="shared" si="15"/>
        <v>1.054284052045189</v>
      </c>
    </row>
    <row r="223" spans="1:9" x14ac:dyDescent="0.5">
      <c r="A223" t="s">
        <v>221</v>
      </c>
      <c r="B223" s="1">
        <v>3.972833397</v>
      </c>
      <c r="C223" s="1">
        <v>4.4877362027096801</v>
      </c>
      <c r="D223" s="1">
        <v>3.6862579196115499</v>
      </c>
      <c r="E223" s="1">
        <v>3.9728333971535799</v>
      </c>
      <c r="F223" s="1">
        <f t="shared" si="12"/>
        <v>4.0299152291187026</v>
      </c>
      <c r="G223" s="1">
        <f t="shared" si="13"/>
        <v>0.33377490485655531</v>
      </c>
      <c r="H223" s="1">
        <f t="shared" si="14"/>
        <v>3.0285905145490366</v>
      </c>
      <c r="I223" s="1">
        <f t="shared" si="15"/>
        <v>5.0312399436883686</v>
      </c>
    </row>
    <row r="224" spans="1:9" x14ac:dyDescent="0.5">
      <c r="A224" t="s">
        <v>222</v>
      </c>
      <c r="B224" s="1">
        <v>22.141500000000001</v>
      </c>
      <c r="C224" s="1">
        <v>22.1645</v>
      </c>
      <c r="D224" s="1">
        <v>22.110800000000001</v>
      </c>
      <c r="E224" s="1">
        <v>22.141500000000001</v>
      </c>
      <c r="F224" s="1">
        <f t="shared" si="12"/>
        <v>22.139575000000001</v>
      </c>
      <c r="G224" s="1">
        <f t="shared" si="13"/>
        <v>2.203533147772728E-2</v>
      </c>
      <c r="H224" s="1">
        <f t="shared" si="14"/>
        <v>22.073469005566817</v>
      </c>
      <c r="I224" s="1">
        <f t="shared" si="15"/>
        <v>22.205680994433184</v>
      </c>
    </row>
    <row r="225" spans="1:9" x14ac:dyDescent="0.5">
      <c r="A225" t="s">
        <v>223</v>
      </c>
      <c r="B225" s="1">
        <v>2.0248377849999999</v>
      </c>
      <c r="C225" s="1">
        <v>2.0347463532888299</v>
      </c>
      <c r="D225" s="1">
        <v>2.0167139829159901</v>
      </c>
      <c r="E225" s="1">
        <v>2.0248377849979802</v>
      </c>
      <c r="F225" s="1">
        <f t="shared" si="12"/>
        <v>2.0252839765506998</v>
      </c>
      <c r="G225" s="1">
        <f t="shared" si="13"/>
        <v>7.3796914622700502E-3</v>
      </c>
      <c r="H225" s="1">
        <f t="shared" si="14"/>
        <v>2.0031449021638896</v>
      </c>
      <c r="I225" s="1">
        <f t="shared" si="15"/>
        <v>2.04742305093751</v>
      </c>
    </row>
    <row r="226" spans="1:9" x14ac:dyDescent="0.5">
      <c r="A226" t="s">
        <v>224</v>
      </c>
      <c r="B226" s="1">
        <v>30.694900000000001</v>
      </c>
      <c r="C226" s="1">
        <v>30.762899999999998</v>
      </c>
      <c r="D226" s="1">
        <v>30.682300000000001</v>
      </c>
      <c r="E226" s="1">
        <v>30.694900000000001</v>
      </c>
      <c r="F226" s="1">
        <f t="shared" si="12"/>
        <v>30.708750000000002</v>
      </c>
      <c r="G226" s="1">
        <f t="shared" si="13"/>
        <v>3.6585379593492062E-2</v>
      </c>
      <c r="H226" s="1">
        <f t="shared" si="14"/>
        <v>30.598993861219526</v>
      </c>
      <c r="I226" s="1">
        <f t="shared" si="15"/>
        <v>30.818506138780478</v>
      </c>
    </row>
    <row r="227" spans="1:9" x14ac:dyDescent="0.5">
      <c r="A227" t="s">
        <v>225</v>
      </c>
      <c r="B227" s="1">
        <v>3.193753015</v>
      </c>
      <c r="C227" s="1">
        <v>3.1726855588846998</v>
      </c>
      <c r="D227" s="1">
        <v>3.13121659174903</v>
      </c>
      <c r="E227" s="1">
        <v>3.1937530152192699</v>
      </c>
      <c r="F227" s="1">
        <f t="shared" si="12"/>
        <v>3.1728520452132503</v>
      </c>
      <c r="G227" s="1">
        <f t="shared" si="13"/>
        <v>2.9480161623754161E-2</v>
      </c>
      <c r="H227" s="1">
        <f t="shared" si="14"/>
        <v>3.0844115603419877</v>
      </c>
      <c r="I227" s="1">
        <f t="shared" si="15"/>
        <v>3.2612925300845128</v>
      </c>
    </row>
    <row r="228" spans="1:9" x14ac:dyDescent="0.5">
      <c r="A228" t="s">
        <v>226</v>
      </c>
      <c r="B228" s="1">
        <v>56.688899999999997</v>
      </c>
      <c r="C228" s="1">
        <v>56.793900000000001</v>
      </c>
      <c r="D228" s="1">
        <v>56.454300000000003</v>
      </c>
      <c r="E228" s="1">
        <v>56.688899999999997</v>
      </c>
      <c r="F228" s="1">
        <f t="shared" si="12"/>
        <v>56.656499999999994</v>
      </c>
      <c r="G228" s="1">
        <f t="shared" si="13"/>
        <v>0.14360027855125998</v>
      </c>
      <c r="H228" s="1">
        <f t="shared" si="14"/>
        <v>56.225699164346217</v>
      </c>
      <c r="I228" s="1">
        <f t="shared" si="15"/>
        <v>57.087300835653771</v>
      </c>
    </row>
    <row r="229" spans="1:9" x14ac:dyDescent="0.5">
      <c r="A229" t="s">
        <v>227</v>
      </c>
      <c r="B229" s="1">
        <v>60.369133740000002</v>
      </c>
      <c r="C229" s="1">
        <v>60.577854599496803</v>
      </c>
      <c r="D229" s="1">
        <v>60.283539057892398</v>
      </c>
      <c r="E229" s="1">
        <v>60.369133740218899</v>
      </c>
      <c r="F229" s="1">
        <f t="shared" si="12"/>
        <v>60.399915284402027</v>
      </c>
      <c r="G229" s="1">
        <f t="shared" si="13"/>
        <v>0.12530074872227762</v>
      </c>
      <c r="H229" s="1">
        <f t="shared" si="14"/>
        <v>60.024013038235196</v>
      </c>
      <c r="I229" s="1">
        <f t="shared" si="15"/>
        <v>60.775817530568858</v>
      </c>
    </row>
    <row r="230" spans="1:9" x14ac:dyDescent="0.5">
      <c r="A230" t="s">
        <v>228</v>
      </c>
      <c r="B230" s="1">
        <v>0.77310000000000001</v>
      </c>
      <c r="C230" s="1">
        <v>0.77379999999999904</v>
      </c>
      <c r="D230" s="1">
        <v>0.77189999999999903</v>
      </c>
      <c r="E230" s="1">
        <v>0.77310000000000001</v>
      </c>
      <c r="F230" s="1">
        <f t="shared" si="12"/>
        <v>0.77297499999999952</v>
      </c>
      <c r="G230" s="1">
        <f t="shared" si="13"/>
        <v>7.8898669190308277E-4</v>
      </c>
      <c r="H230" s="1">
        <f t="shared" si="14"/>
        <v>0.77060803992429028</v>
      </c>
      <c r="I230" s="1">
        <f t="shared" si="15"/>
        <v>0.77534196007570877</v>
      </c>
    </row>
    <row r="231" spans="1:9" x14ac:dyDescent="0.5">
      <c r="A231" t="s">
        <v>229</v>
      </c>
      <c r="B231" s="1">
        <v>7.0788339000000006E-2</v>
      </c>
      <c r="C231" s="1">
        <v>7.1064602846830693E-2</v>
      </c>
      <c r="D231" s="1">
        <v>7.0016585336777307E-2</v>
      </c>
      <c r="E231" s="1">
        <v>7.0788338650436503E-2</v>
      </c>
      <c r="F231" s="1">
        <f t="shared" si="12"/>
        <v>7.0664466458511127E-2</v>
      </c>
      <c r="G231" s="1">
        <f t="shared" si="13"/>
        <v>4.5112740389081929E-4</v>
      </c>
      <c r="H231" s="1">
        <f t="shared" si="14"/>
        <v>6.931108424683867E-2</v>
      </c>
      <c r="I231" s="1">
        <f t="shared" si="15"/>
        <v>7.2017848670183585E-2</v>
      </c>
    </row>
    <row r="232" spans="1:9" x14ac:dyDescent="0.5">
      <c r="A232" t="s">
        <v>230</v>
      </c>
      <c r="B232" s="1">
        <v>18.1387</v>
      </c>
      <c r="C232" s="1">
        <v>17.956299999999999</v>
      </c>
      <c r="D232" s="1">
        <v>18.156600000000001</v>
      </c>
      <c r="E232" s="1">
        <v>18.1387</v>
      </c>
      <c r="F232" s="1">
        <f t="shared" si="12"/>
        <v>18.097574999999999</v>
      </c>
      <c r="G232" s="1">
        <f t="shared" si="13"/>
        <v>9.4560575823120663E-2</v>
      </c>
      <c r="H232" s="1">
        <f t="shared" si="14"/>
        <v>17.813893272530638</v>
      </c>
      <c r="I232" s="1">
        <f t="shared" si="15"/>
        <v>18.38125672746936</v>
      </c>
    </row>
    <row r="233" spans="1:9" x14ac:dyDescent="0.5">
      <c r="A233" t="s">
        <v>231</v>
      </c>
      <c r="B233" s="1">
        <v>12.881872639999999</v>
      </c>
      <c r="C233" s="1">
        <v>12.850602433349099</v>
      </c>
      <c r="D233" s="1">
        <v>12.8783719485206</v>
      </c>
      <c r="E233" s="1">
        <v>12.881872638625801</v>
      </c>
      <c r="F233" s="1">
        <f t="shared" si="12"/>
        <v>12.873179915123876</v>
      </c>
      <c r="G233" s="1">
        <f t="shared" si="13"/>
        <v>1.5141849311714063E-2</v>
      </c>
      <c r="H233" s="1">
        <f t="shared" si="14"/>
        <v>12.827754367188733</v>
      </c>
      <c r="I233" s="1">
        <f t="shared" si="15"/>
        <v>12.918605463059018</v>
      </c>
    </row>
    <row r="234" spans="1:9" x14ac:dyDescent="0.5">
      <c r="A234" t="s">
        <v>232</v>
      </c>
      <c r="B234" s="1">
        <v>0.95930000000000004</v>
      </c>
      <c r="C234" s="1">
        <v>0.95930000000000004</v>
      </c>
      <c r="D234" s="1">
        <v>0.95920000000000005</v>
      </c>
      <c r="E234" s="1">
        <v>0.95930000000000004</v>
      </c>
      <c r="F234" s="1">
        <f t="shared" si="12"/>
        <v>0.9592750000000001</v>
      </c>
      <c r="G234" s="1">
        <f t="shared" si="13"/>
        <v>4.9999999999994493E-5</v>
      </c>
      <c r="H234" s="1">
        <f t="shared" si="14"/>
        <v>0.95912500000000012</v>
      </c>
      <c r="I234" s="1">
        <f t="shared" si="15"/>
        <v>0.95942500000000008</v>
      </c>
    </row>
    <row r="235" spans="1:9" x14ac:dyDescent="0.5">
      <c r="A235" t="s">
        <v>233</v>
      </c>
      <c r="B235" s="1">
        <v>1.2356285E-2</v>
      </c>
      <c r="C235" s="1">
        <v>1.23562849504929E-2</v>
      </c>
      <c r="D235" s="1">
        <v>1.2345039489608699E-2</v>
      </c>
      <c r="E235" s="1">
        <v>1.23562849504929E-2</v>
      </c>
      <c r="F235" s="1">
        <f t="shared" si="12"/>
        <v>1.2353473597648625E-2</v>
      </c>
      <c r="G235" s="1">
        <f t="shared" si="13"/>
        <v>5.6227386933320353E-6</v>
      </c>
      <c r="H235" s="1">
        <f t="shared" si="14"/>
        <v>1.233660538156863E-2</v>
      </c>
      <c r="I235" s="1">
        <f t="shared" si="15"/>
        <v>1.2370341813728621E-2</v>
      </c>
    </row>
    <row r="236" spans="1:9" x14ac:dyDescent="0.5">
      <c r="A236" t="s">
        <v>234</v>
      </c>
      <c r="B236" s="1">
        <v>4.750921462</v>
      </c>
      <c r="C236" s="1">
        <v>4.7515753464729702</v>
      </c>
      <c r="D236" s="1">
        <v>4.7568752559615302</v>
      </c>
      <c r="E236" s="1">
        <v>4.7509214615360698</v>
      </c>
      <c r="F236" s="1">
        <f t="shared" si="12"/>
        <v>4.7525733814926419</v>
      </c>
      <c r="G236" s="1">
        <f t="shared" si="13"/>
        <v>2.8844338207959963E-3</v>
      </c>
      <c r="H236" s="1">
        <f t="shared" si="14"/>
        <v>4.7439200800302537</v>
      </c>
      <c r="I236" s="1">
        <f t="shared" si="15"/>
        <v>4.76122668295503</v>
      </c>
    </row>
    <row r="237" spans="1:9" x14ac:dyDescent="0.5">
      <c r="A237" t="s">
        <v>235</v>
      </c>
      <c r="B237" s="1">
        <v>5.3936972999999999E-2</v>
      </c>
      <c r="C237" s="1">
        <v>5.1376171513391897E-2</v>
      </c>
      <c r="D237" s="1">
        <v>5.4142481979150302E-2</v>
      </c>
      <c r="E237" s="1">
        <v>5.3936973005134101E-2</v>
      </c>
      <c r="F237" s="1">
        <f t="shared" si="12"/>
        <v>5.3348149874419076E-2</v>
      </c>
      <c r="G237" s="1">
        <f t="shared" si="13"/>
        <v>1.3182169145541651E-3</v>
      </c>
      <c r="H237" s="1">
        <f t="shared" si="14"/>
        <v>4.939349913075658E-2</v>
      </c>
      <c r="I237" s="1">
        <f t="shared" si="15"/>
        <v>5.7302800618081573E-2</v>
      </c>
    </row>
    <row r="238" spans="1:9" x14ac:dyDescent="0.5">
      <c r="A238" t="s">
        <v>236</v>
      </c>
      <c r="B238" s="1">
        <v>5.2818244080000003</v>
      </c>
      <c r="C238" s="1">
        <v>5.2935255066747802</v>
      </c>
      <c r="D238" s="1">
        <v>5.2796562630131696</v>
      </c>
      <c r="E238" s="1">
        <v>5.2818244078039402</v>
      </c>
      <c r="F238" s="1">
        <f t="shared" si="12"/>
        <v>5.2842076463729732</v>
      </c>
      <c r="G238" s="1">
        <f t="shared" si="13"/>
        <v>6.2954285612981152E-3</v>
      </c>
      <c r="H238" s="1">
        <f t="shared" si="14"/>
        <v>5.2653213606890787</v>
      </c>
      <c r="I238" s="1">
        <f t="shared" si="15"/>
        <v>5.3030939320568677</v>
      </c>
    </row>
    <row r="239" spans="1:9" x14ac:dyDescent="0.5">
      <c r="A239" t="s">
        <v>237</v>
      </c>
      <c r="B239" s="1">
        <v>0.54956499700000006</v>
      </c>
      <c r="C239" s="1">
        <v>0.54593981486189302</v>
      </c>
      <c r="D239" s="1">
        <v>0.53880404303062501</v>
      </c>
      <c r="E239" s="1">
        <v>0.54956499706083395</v>
      </c>
      <c r="F239" s="1">
        <f t="shared" si="12"/>
        <v>0.54596846298833801</v>
      </c>
      <c r="G239" s="1">
        <f t="shared" si="13"/>
        <v>5.0727983164223145E-3</v>
      </c>
      <c r="H239" s="1">
        <f t="shared" si="14"/>
        <v>0.5307500680390711</v>
      </c>
      <c r="I239" s="1">
        <f t="shared" si="15"/>
        <v>0.56118685793760492</v>
      </c>
    </row>
    <row r="240" spans="1:9" x14ac:dyDescent="0.5">
      <c r="A240" t="s">
        <v>238</v>
      </c>
      <c r="B240" s="1">
        <v>2149.029207</v>
      </c>
      <c r="C240" s="1">
        <v>1288.89572620391</v>
      </c>
      <c r="D240" s="1">
        <v>2084.4213485717701</v>
      </c>
      <c r="E240" s="1">
        <v>2403.0992746353099</v>
      </c>
      <c r="F240" s="1">
        <f t="shared" si="12"/>
        <v>1981.3613891027476</v>
      </c>
      <c r="G240" s="1">
        <f t="shared" si="13"/>
        <v>481.70024939152904</v>
      </c>
      <c r="H240" s="1">
        <v>0</v>
      </c>
      <c r="I240" s="1">
        <v>100000000</v>
      </c>
    </row>
    <row r="241" spans="1:9" x14ac:dyDescent="0.5">
      <c r="A241" t="s">
        <v>239</v>
      </c>
      <c r="B241" s="1">
        <v>66.014375169999994</v>
      </c>
      <c r="C241" s="1">
        <v>25.191371742281301</v>
      </c>
      <c r="D241" s="1">
        <v>44.076470587633203</v>
      </c>
      <c r="E241" s="1">
        <v>251.26870918031801</v>
      </c>
      <c r="F241" s="1">
        <f t="shared" si="12"/>
        <v>96.63773167005813</v>
      </c>
      <c r="G241" s="1">
        <f t="shared" si="13"/>
        <v>104.42828110336843</v>
      </c>
      <c r="H241" s="1">
        <v>0</v>
      </c>
      <c r="I241" s="1">
        <v>100000000</v>
      </c>
    </row>
    <row r="242" spans="1:9" x14ac:dyDescent="0.5">
      <c r="A242" t="s">
        <v>240</v>
      </c>
      <c r="B242" s="1">
        <v>-0.58250500000000005</v>
      </c>
      <c r="C242" s="1">
        <v>0.97451100000000002</v>
      </c>
      <c r="D242" s="1">
        <v>0.49347099999999999</v>
      </c>
      <c r="E242" s="1">
        <v>-0.58250500000000005</v>
      </c>
      <c r="F242" s="1">
        <f t="shared" si="12"/>
        <v>7.5742999999999977E-2</v>
      </c>
      <c r="G242" s="1">
        <f t="shared" si="13"/>
        <v>0.78503958686085806</v>
      </c>
      <c r="H242" s="1">
        <f t="shared" si="14"/>
        <v>-2.2793757605825742</v>
      </c>
      <c r="I242" s="1">
        <f t="shared" si="15"/>
        <v>2.4308617605825744</v>
      </c>
    </row>
    <row r="243" spans="1:9" x14ac:dyDescent="0.5">
      <c r="A243" t="s">
        <v>241</v>
      </c>
      <c r="B243" s="1">
        <v>2.1088646020000001</v>
      </c>
      <c r="C243" s="1">
        <v>2.4984598055088498</v>
      </c>
      <c r="D243" s="1">
        <v>3.2737517418075202</v>
      </c>
      <c r="E243" s="1">
        <v>2.1088646017611201</v>
      </c>
      <c r="F243" s="1">
        <f t="shared" si="12"/>
        <v>2.4974851877693727</v>
      </c>
      <c r="G243" s="1">
        <f t="shared" si="13"/>
        <v>0.54913344836846567</v>
      </c>
      <c r="H243" s="1">
        <f t="shared" si="14"/>
        <v>0.85008484266397577</v>
      </c>
      <c r="I243" s="1">
        <f t="shared" si="15"/>
        <v>4.1448855328747696</v>
      </c>
    </row>
    <row r="244" spans="1:9" x14ac:dyDescent="0.5">
      <c r="A244" t="s">
        <v>242</v>
      </c>
      <c r="B244" s="1">
        <v>18.62</v>
      </c>
      <c r="C244" s="1">
        <v>18.7056</v>
      </c>
      <c r="D244" s="1">
        <v>18.785499999999999</v>
      </c>
      <c r="E244" s="1">
        <v>18.62</v>
      </c>
      <c r="F244" s="1">
        <f t="shared" si="12"/>
        <v>18.682774999999999</v>
      </c>
      <c r="G244" s="1">
        <f t="shared" si="13"/>
        <v>7.9487540952444369E-2</v>
      </c>
      <c r="H244" s="1">
        <f t="shared" si="14"/>
        <v>18.444312377142666</v>
      </c>
      <c r="I244" s="1">
        <f t="shared" si="15"/>
        <v>18.921237622857333</v>
      </c>
    </row>
    <row r="245" spans="1:9" x14ac:dyDescent="0.5">
      <c r="A245" t="s">
        <v>243</v>
      </c>
      <c r="B245" s="1">
        <v>0.47519189099999998</v>
      </c>
      <c r="C245" s="1">
        <v>0.56739878196712501</v>
      </c>
      <c r="D245" s="1">
        <v>0.54187826636206304</v>
      </c>
      <c r="E245" s="1">
        <v>0.47519189106437099</v>
      </c>
      <c r="F245" s="1">
        <f t="shared" si="12"/>
        <v>0.51491520759838971</v>
      </c>
      <c r="G245" s="1">
        <f t="shared" si="13"/>
        <v>4.7036921223118693E-2</v>
      </c>
      <c r="H245" s="1">
        <f t="shared" si="14"/>
        <v>0.37380444392903367</v>
      </c>
      <c r="I245" s="1">
        <f t="shared" si="15"/>
        <v>0.65602597126774576</v>
      </c>
    </row>
    <row r="246" spans="1:9" x14ac:dyDescent="0.5">
      <c r="A246" t="s">
        <v>244</v>
      </c>
      <c r="B246" s="1">
        <v>26.126200000000001</v>
      </c>
      <c r="C246" s="1">
        <v>26.169899999999998</v>
      </c>
      <c r="D246" s="1">
        <v>26.258900000000001</v>
      </c>
      <c r="E246" s="1">
        <v>26.126200000000001</v>
      </c>
      <c r="F246" s="1">
        <f t="shared" si="12"/>
        <v>26.170299999999997</v>
      </c>
      <c r="G246" s="1">
        <f t="shared" si="13"/>
        <v>6.2555948291642544E-2</v>
      </c>
      <c r="H246" s="1">
        <f t="shared" si="14"/>
        <v>25.982632155125071</v>
      </c>
      <c r="I246" s="1">
        <f t="shared" si="15"/>
        <v>26.357967844874924</v>
      </c>
    </row>
    <row r="247" spans="1:9" x14ac:dyDescent="0.5">
      <c r="A247" t="s">
        <v>245</v>
      </c>
      <c r="B247" s="1">
        <v>0.57697579399999999</v>
      </c>
      <c r="C247" s="1">
        <v>0.66758227957308702</v>
      </c>
      <c r="D247" s="1">
        <v>0.55184729167889701</v>
      </c>
      <c r="E247" s="1">
        <v>0.57697579383078601</v>
      </c>
      <c r="F247" s="1">
        <f t="shared" si="12"/>
        <v>0.59334528977069256</v>
      </c>
      <c r="G247" s="1">
        <f t="shared" si="13"/>
        <v>5.0889210675940683E-2</v>
      </c>
      <c r="H247" s="1">
        <f t="shared" si="14"/>
        <v>0.44067765774287049</v>
      </c>
      <c r="I247" s="1">
        <f t="shared" si="15"/>
        <v>0.74601292179851464</v>
      </c>
    </row>
    <row r="248" spans="1:9" x14ac:dyDescent="0.5">
      <c r="A248" t="s">
        <v>246</v>
      </c>
      <c r="B248" s="1">
        <v>42.662999999999997</v>
      </c>
      <c r="C248" s="1">
        <v>43.058900000000001</v>
      </c>
      <c r="D248" s="1">
        <v>43.382800000000003</v>
      </c>
      <c r="E248" s="1">
        <v>42.662999999999997</v>
      </c>
      <c r="F248" s="1">
        <f t="shared" si="12"/>
        <v>42.941924999999998</v>
      </c>
      <c r="G248" s="1">
        <f t="shared" si="13"/>
        <v>0.34816290607511435</v>
      </c>
      <c r="H248" s="1">
        <f t="shared" si="14"/>
        <v>41.897436281774652</v>
      </c>
      <c r="I248" s="1">
        <f t="shared" si="15"/>
        <v>43.986413718225343</v>
      </c>
    </row>
    <row r="249" spans="1:9" x14ac:dyDescent="0.5">
      <c r="A249" t="s">
        <v>247</v>
      </c>
      <c r="B249" s="1">
        <v>5.239895228</v>
      </c>
      <c r="C249" s="1">
        <v>5.4528310373806903</v>
      </c>
      <c r="D249" s="1">
        <v>4.8796217704062004</v>
      </c>
      <c r="E249" s="1">
        <v>5.23989522796019</v>
      </c>
      <c r="F249" s="1">
        <f t="shared" si="12"/>
        <v>5.2030608159367704</v>
      </c>
      <c r="G249" s="1">
        <f t="shared" si="13"/>
        <v>0.23784555739318583</v>
      </c>
      <c r="H249" s="1">
        <f t="shared" si="14"/>
        <v>4.4895241437572126</v>
      </c>
      <c r="I249" s="1">
        <f t="shared" si="15"/>
        <v>5.9165974881163281</v>
      </c>
    </row>
    <row r="250" spans="1:9" x14ac:dyDescent="0.5">
      <c r="A250" t="s">
        <v>248</v>
      </c>
      <c r="B250" s="1">
        <v>0.65029999999999999</v>
      </c>
      <c r="C250" s="1">
        <v>0.65310000000000001</v>
      </c>
      <c r="D250" s="1">
        <v>0.65590000000000004</v>
      </c>
      <c r="E250" s="1">
        <v>0.65029999999999899</v>
      </c>
      <c r="F250" s="1">
        <f t="shared" si="12"/>
        <v>0.65239999999999965</v>
      </c>
      <c r="G250" s="1">
        <f t="shared" si="13"/>
        <v>2.6807959017180311E-3</v>
      </c>
      <c r="H250" s="1">
        <f t="shared" si="14"/>
        <v>0.64435761229484556</v>
      </c>
      <c r="I250" s="1">
        <f t="shared" si="15"/>
        <v>0.66044238770515373</v>
      </c>
    </row>
    <row r="251" spans="1:9" x14ac:dyDescent="0.5">
      <c r="A251" t="s">
        <v>249</v>
      </c>
      <c r="B251" s="1">
        <v>1.8312412E-2</v>
      </c>
      <c r="C251" s="1">
        <v>2.2007322013871199E-2</v>
      </c>
      <c r="D251" s="1">
        <v>2.11368556475807E-2</v>
      </c>
      <c r="E251" s="1">
        <v>1.8312412305440302E-2</v>
      </c>
      <c r="F251" s="1">
        <f t="shared" si="12"/>
        <v>1.9942250491723049E-2</v>
      </c>
      <c r="G251" s="1">
        <f t="shared" si="13"/>
        <v>1.9152326135969716E-3</v>
      </c>
      <c r="H251" s="1">
        <f t="shared" si="14"/>
        <v>1.4196552650932134E-2</v>
      </c>
      <c r="I251" s="1">
        <f t="shared" si="15"/>
        <v>2.5687948332513963E-2</v>
      </c>
    </row>
    <row r="252" spans="1:9" x14ac:dyDescent="0.5">
      <c r="A252" t="s">
        <v>250</v>
      </c>
      <c r="B252" s="1">
        <v>31.427299999999999</v>
      </c>
      <c r="C252" s="1">
        <v>31.311800000000002</v>
      </c>
      <c r="D252" s="1">
        <v>31.078299999999999</v>
      </c>
      <c r="E252" s="1">
        <v>31.427299999999899</v>
      </c>
      <c r="F252" s="1">
        <f t="shared" si="12"/>
        <v>31.311174999999974</v>
      </c>
      <c r="G252" s="1">
        <f t="shared" si="13"/>
        <v>0.16452070538382801</v>
      </c>
      <c r="H252" s="1">
        <f t="shared" si="14"/>
        <v>30.81761288384849</v>
      </c>
      <c r="I252" s="1">
        <f t="shared" si="15"/>
        <v>31.804737116151458</v>
      </c>
    </row>
    <row r="253" spans="1:9" x14ac:dyDescent="0.5">
      <c r="A253" t="s">
        <v>251</v>
      </c>
      <c r="B253" s="1">
        <v>1.640191591</v>
      </c>
      <c r="C253" s="1">
        <v>1.89685920522437</v>
      </c>
      <c r="D253" s="1">
        <v>1.6132313363074799</v>
      </c>
      <c r="E253" s="1">
        <v>1.6401915911123099</v>
      </c>
      <c r="F253" s="1">
        <f t="shared" si="12"/>
        <v>1.6976184309110398</v>
      </c>
      <c r="G253" s="1">
        <f t="shared" si="13"/>
        <v>0.13343381849696465</v>
      </c>
      <c r="H253" s="1">
        <f t="shared" si="14"/>
        <v>1.2973169754201459</v>
      </c>
      <c r="I253" s="1">
        <f t="shared" si="15"/>
        <v>2.0979198864019337</v>
      </c>
    </row>
    <row r="254" spans="1:9" x14ac:dyDescent="0.5">
      <c r="A254" t="s">
        <v>252</v>
      </c>
      <c r="B254" s="1">
        <v>0.97230000000000005</v>
      </c>
      <c r="C254" s="1">
        <v>0.97230000000000005</v>
      </c>
      <c r="D254" s="1">
        <v>0.97240000000000004</v>
      </c>
      <c r="E254" s="1">
        <v>0.97230000000000005</v>
      </c>
      <c r="F254" s="1">
        <f t="shared" si="12"/>
        <v>0.97232500000000011</v>
      </c>
      <c r="G254" s="1">
        <f t="shared" si="13"/>
        <v>4.9999999999994493E-5</v>
      </c>
      <c r="H254" s="1">
        <f t="shared" si="14"/>
        <v>0.97217500000000012</v>
      </c>
      <c r="I254" s="1">
        <f t="shared" si="15"/>
        <v>0.97247500000000009</v>
      </c>
    </row>
    <row r="255" spans="1:9" x14ac:dyDescent="0.5">
      <c r="A255" t="s">
        <v>253</v>
      </c>
      <c r="B255" s="1">
        <v>1.0593499999999999E-3</v>
      </c>
      <c r="C255" s="1">
        <v>1.3374935098491999E-3</v>
      </c>
      <c r="D255" s="1">
        <v>1.2649110640672999E-3</v>
      </c>
      <c r="E255" s="1">
        <v>1.0593499054712999E-3</v>
      </c>
      <c r="F255" s="1">
        <f t="shared" si="12"/>
        <v>1.1802761198469499E-3</v>
      </c>
      <c r="G255" s="1">
        <f t="shared" si="13"/>
        <v>1.4274295929719955E-4</v>
      </c>
      <c r="H255" s="1">
        <f t="shared" si="14"/>
        <v>7.5204724195535131E-4</v>
      </c>
      <c r="I255" s="1">
        <f t="shared" si="15"/>
        <v>1.6085049977385486E-3</v>
      </c>
    </row>
    <row r="256" spans="1:9" x14ac:dyDescent="0.5">
      <c r="A256" t="s">
        <v>254</v>
      </c>
      <c r="B256" s="1">
        <v>-0.83649200000000001</v>
      </c>
      <c r="C256" s="1">
        <v>0.74392499999999995</v>
      </c>
      <c r="D256" s="1">
        <v>0.46406199999999898</v>
      </c>
      <c r="E256" s="1">
        <v>-0.83649200000000001</v>
      </c>
      <c r="F256" s="1">
        <f t="shared" si="12"/>
        <v>-0.11624925000000028</v>
      </c>
      <c r="G256" s="1">
        <f t="shared" si="13"/>
        <v>0.83947605189085028</v>
      </c>
      <c r="H256" s="1">
        <f t="shared" si="14"/>
        <v>-2.634677405672551</v>
      </c>
      <c r="I256" s="1">
        <f t="shared" si="15"/>
        <v>2.4021789056725509</v>
      </c>
    </row>
    <row r="257" spans="1:9" x14ac:dyDescent="0.5">
      <c r="A257" t="s">
        <v>255</v>
      </c>
      <c r="B257" s="1">
        <v>5.8439147939999998</v>
      </c>
      <c r="C257" s="1">
        <v>5.2909633567458902</v>
      </c>
      <c r="D257" s="1">
        <v>5.2385855162073804</v>
      </c>
      <c r="E257" s="1">
        <v>5.84391479378868</v>
      </c>
      <c r="F257" s="1">
        <f t="shared" si="12"/>
        <v>5.5543446151854878</v>
      </c>
      <c r="G257" s="1">
        <f t="shared" si="13"/>
        <v>0.33504988319136664</v>
      </c>
      <c r="H257" s="1">
        <f t="shared" si="14"/>
        <v>4.5491949656113881</v>
      </c>
      <c r="I257" s="1">
        <f t="shared" si="15"/>
        <v>6.5594942647595875</v>
      </c>
    </row>
    <row r="258" spans="1:9" x14ac:dyDescent="0.5">
      <c r="A258" t="s">
        <v>256</v>
      </c>
      <c r="B258" s="1">
        <v>21.272200000000002</v>
      </c>
      <c r="C258" s="1">
        <v>21.290800000000001</v>
      </c>
      <c r="D258" s="1">
        <v>21.256799999999998</v>
      </c>
      <c r="E258" s="1">
        <v>21.272200000000002</v>
      </c>
      <c r="F258" s="1">
        <f t="shared" si="12"/>
        <v>21.273</v>
      </c>
      <c r="G258" s="1">
        <f t="shared" si="13"/>
        <v>1.3911146609824293E-2</v>
      </c>
      <c r="H258" s="1">
        <f t="shared" si="14"/>
        <v>21.231266560170528</v>
      </c>
      <c r="I258" s="1">
        <f t="shared" si="15"/>
        <v>21.314733439829471</v>
      </c>
    </row>
    <row r="259" spans="1:9" x14ac:dyDescent="0.5">
      <c r="A259" t="s">
        <v>257</v>
      </c>
      <c r="B259" s="1">
        <v>1.8572788220000001</v>
      </c>
      <c r="C259" s="1">
        <v>1.95570696509812</v>
      </c>
      <c r="D259" s="1">
        <v>2.1771533810102599</v>
      </c>
      <c r="E259" s="1">
        <v>1.8572788218849099</v>
      </c>
      <c r="F259" s="1">
        <f t="shared" ref="F259:F322" si="16">AVERAGE(B259:E259)</f>
        <v>1.9618544974983223</v>
      </c>
      <c r="G259" s="1">
        <f t="shared" ref="G259:G322" si="17">_xlfn.STDEV.S(B259:E259)</f>
        <v>0.15084599788308437</v>
      </c>
      <c r="H259" s="1">
        <f t="shared" ref="H259:H322" si="18">F259-3*G259</f>
        <v>1.5093165038490692</v>
      </c>
      <c r="I259" s="1">
        <f t="shared" ref="I259:I322" si="19">F259+3*G259</f>
        <v>2.4143924911475754</v>
      </c>
    </row>
    <row r="260" spans="1:9" x14ac:dyDescent="0.5">
      <c r="A260" t="s">
        <v>258</v>
      </c>
      <c r="B260" s="1">
        <v>30.011800000000001</v>
      </c>
      <c r="C260" s="1">
        <v>29.9436</v>
      </c>
      <c r="D260" s="1">
        <v>29.946200000000001</v>
      </c>
      <c r="E260" s="1">
        <v>30.011799999999901</v>
      </c>
      <c r="F260" s="1">
        <f t="shared" si="16"/>
        <v>29.978349999999978</v>
      </c>
      <c r="G260" s="1">
        <f t="shared" si="17"/>
        <v>3.8639315038758996E-2</v>
      </c>
      <c r="H260" s="1">
        <f t="shared" si="18"/>
        <v>29.862432054883701</v>
      </c>
      <c r="I260" s="1">
        <f t="shared" si="19"/>
        <v>30.094267945116254</v>
      </c>
    </row>
    <row r="261" spans="1:9" x14ac:dyDescent="0.5">
      <c r="A261" t="s">
        <v>259</v>
      </c>
      <c r="B261" s="1">
        <v>3.0284590069999999</v>
      </c>
      <c r="C261" s="1">
        <v>3.2547669040962002</v>
      </c>
      <c r="D261" s="1">
        <v>3.3409629616490899</v>
      </c>
      <c r="E261" s="1">
        <v>3.0284590067483999</v>
      </c>
      <c r="F261" s="1">
        <f t="shared" si="16"/>
        <v>3.1631619698734221</v>
      </c>
      <c r="G261" s="1">
        <f t="shared" si="17"/>
        <v>0.15947249828931867</v>
      </c>
      <c r="H261" s="1">
        <f t="shared" si="18"/>
        <v>2.6847444750054663</v>
      </c>
      <c r="I261" s="1">
        <f t="shared" si="19"/>
        <v>3.6415794647413779</v>
      </c>
    </row>
    <row r="262" spans="1:9" x14ac:dyDescent="0.5">
      <c r="A262" t="s">
        <v>260</v>
      </c>
      <c r="B262" s="1">
        <v>53.117699999999999</v>
      </c>
      <c r="C262" s="1">
        <v>53.0991</v>
      </c>
      <c r="D262" s="1">
        <v>51.160499999999999</v>
      </c>
      <c r="E262" s="1">
        <v>53.117699999999999</v>
      </c>
      <c r="F262" s="1">
        <f t="shared" si="16"/>
        <v>52.623750000000001</v>
      </c>
      <c r="G262" s="1">
        <f t="shared" si="17"/>
        <v>0.9755394046372502</v>
      </c>
      <c r="H262" s="1">
        <f t="shared" si="18"/>
        <v>49.697131786088249</v>
      </c>
      <c r="I262" s="1">
        <f t="shared" si="19"/>
        <v>55.550368213911753</v>
      </c>
    </row>
    <row r="263" spans="1:9" x14ac:dyDescent="0.5">
      <c r="A263" t="s">
        <v>261</v>
      </c>
      <c r="B263" s="1">
        <v>47.473116609999998</v>
      </c>
      <c r="C263" s="1">
        <v>46.319929640250699</v>
      </c>
      <c r="D263" s="1">
        <v>45.917463316138097</v>
      </c>
      <c r="E263" s="1">
        <v>47.473116610117103</v>
      </c>
      <c r="F263" s="1">
        <f t="shared" si="16"/>
        <v>46.795906544126474</v>
      </c>
      <c r="G263" s="1">
        <f t="shared" si="17"/>
        <v>0.79905015792111234</v>
      </c>
      <c r="H263" s="1">
        <f t="shared" si="18"/>
        <v>44.398756070363135</v>
      </c>
      <c r="I263" s="1">
        <f t="shared" si="19"/>
        <v>49.193057017889814</v>
      </c>
    </row>
    <row r="264" spans="1:9" x14ac:dyDescent="0.5">
      <c r="A264" t="s">
        <v>262</v>
      </c>
      <c r="B264" s="1">
        <v>0.74270000000000003</v>
      </c>
      <c r="C264" s="1">
        <v>0.74329999999999896</v>
      </c>
      <c r="D264" s="1">
        <v>0.74229999999999996</v>
      </c>
      <c r="E264" s="1">
        <v>0.74270000000000003</v>
      </c>
      <c r="F264" s="1">
        <f t="shared" si="16"/>
        <v>0.7427499999999998</v>
      </c>
      <c r="G264" s="1">
        <f t="shared" si="17"/>
        <v>4.1231056256131675E-4</v>
      </c>
      <c r="H264" s="1">
        <f t="shared" si="18"/>
        <v>0.74151306831231589</v>
      </c>
      <c r="I264" s="1">
        <f t="shared" si="19"/>
        <v>0.74398693168768371</v>
      </c>
    </row>
    <row r="265" spans="1:9" x14ac:dyDescent="0.5">
      <c r="A265" t="s">
        <v>263</v>
      </c>
      <c r="B265" s="1">
        <v>6.5772418999999999E-2</v>
      </c>
      <c r="C265" s="1">
        <v>6.9185820641066098E-2</v>
      </c>
      <c r="D265" s="1">
        <v>7.7244273430318297E-2</v>
      </c>
      <c r="E265" s="1">
        <v>6.5772419076016206E-2</v>
      </c>
      <c r="F265" s="1">
        <f t="shared" si="16"/>
        <v>6.949373303685015E-2</v>
      </c>
      <c r="G265" s="1">
        <f t="shared" si="17"/>
        <v>5.4117785797959386E-3</v>
      </c>
      <c r="H265" s="1">
        <f t="shared" si="18"/>
        <v>5.3258397297462332E-2</v>
      </c>
      <c r="I265" s="1">
        <f t="shared" si="19"/>
        <v>8.5729068776237968E-2</v>
      </c>
    </row>
    <row r="266" spans="1:9" x14ac:dyDescent="0.5">
      <c r="A266" t="s">
        <v>264</v>
      </c>
      <c r="B266" s="1">
        <v>20.138100000000001</v>
      </c>
      <c r="C266" s="1">
        <v>20.292100000000001</v>
      </c>
      <c r="D266" s="1">
        <v>20.307300000000001</v>
      </c>
      <c r="E266" s="1">
        <v>20.138100000000001</v>
      </c>
      <c r="F266" s="1">
        <f t="shared" si="16"/>
        <v>20.218899999999998</v>
      </c>
      <c r="G266" s="1">
        <f t="shared" si="17"/>
        <v>9.3505935640471494E-2</v>
      </c>
      <c r="H266" s="1">
        <f t="shared" si="18"/>
        <v>19.938382193078585</v>
      </c>
      <c r="I266" s="1">
        <f t="shared" si="19"/>
        <v>20.499417806921411</v>
      </c>
    </row>
    <row r="267" spans="1:9" x14ac:dyDescent="0.5">
      <c r="A267" t="s">
        <v>265</v>
      </c>
      <c r="B267" s="1">
        <v>10.648548849999999</v>
      </c>
      <c r="C267" s="1">
        <v>11.2827665780851</v>
      </c>
      <c r="D267" s="1">
        <v>11.2341504554441</v>
      </c>
      <c r="E267" s="1">
        <v>10.6485488468825</v>
      </c>
      <c r="F267" s="1">
        <f t="shared" si="16"/>
        <v>10.953503682602925</v>
      </c>
      <c r="G267" s="1">
        <f t="shared" si="17"/>
        <v>0.3526904058824688</v>
      </c>
      <c r="H267" s="1">
        <f t="shared" si="18"/>
        <v>9.895432464955519</v>
      </c>
      <c r="I267" s="1">
        <f t="shared" si="19"/>
        <v>12.011574900250331</v>
      </c>
    </row>
    <row r="268" spans="1:9" x14ac:dyDescent="0.5">
      <c r="A268" t="s">
        <v>266</v>
      </c>
      <c r="B268" s="1">
        <v>0.9627</v>
      </c>
      <c r="C268" s="1">
        <v>0.96279999999999999</v>
      </c>
      <c r="D268" s="1">
        <v>0.9627</v>
      </c>
      <c r="E268" s="1">
        <v>0.9627</v>
      </c>
      <c r="F268" s="1">
        <f t="shared" si="16"/>
        <v>0.96272499999999994</v>
      </c>
      <c r="G268" s="1">
        <f t="shared" si="17"/>
        <v>4.9999999999994493E-5</v>
      </c>
      <c r="H268" s="1">
        <f t="shared" si="18"/>
        <v>0.96257499999999996</v>
      </c>
      <c r="I268" s="1">
        <f t="shared" si="19"/>
        <v>0.96287499999999993</v>
      </c>
    </row>
    <row r="269" spans="1:9" x14ac:dyDescent="0.5">
      <c r="A269" t="s">
        <v>267</v>
      </c>
      <c r="B269" s="1">
        <v>1.0842816E-2</v>
      </c>
      <c r="C269" s="1">
        <v>1.0962562555250299E-2</v>
      </c>
      <c r="D269" s="1">
        <v>1.11659203730717E-2</v>
      </c>
      <c r="E269" s="1">
        <v>1.08428163623049E-2</v>
      </c>
      <c r="F269" s="1">
        <f t="shared" si="16"/>
        <v>1.0953528822656725E-2</v>
      </c>
      <c r="G269" s="1">
        <f t="shared" si="17"/>
        <v>1.5243179566615237E-4</v>
      </c>
      <c r="H269" s="1">
        <f t="shared" si="18"/>
        <v>1.0496233435658267E-2</v>
      </c>
      <c r="I269" s="1">
        <f t="shared" si="19"/>
        <v>1.1410824209655182E-2</v>
      </c>
    </row>
    <row r="270" spans="1:9" x14ac:dyDescent="0.5">
      <c r="A270" t="s">
        <v>268</v>
      </c>
      <c r="B270" s="1">
        <v>4.4956654309999999</v>
      </c>
      <c r="C270" s="1">
        <v>4.5031851079426302</v>
      </c>
      <c r="D270" s="1">
        <v>4.5184997814647696</v>
      </c>
      <c r="E270" s="1">
        <v>4.4956654311682804</v>
      </c>
      <c r="F270" s="1">
        <f t="shared" si="16"/>
        <v>4.5032539378939198</v>
      </c>
      <c r="G270" s="1">
        <f t="shared" si="17"/>
        <v>1.0764313803074181E-2</v>
      </c>
      <c r="H270" s="1">
        <f t="shared" si="18"/>
        <v>4.4709609964846972</v>
      </c>
      <c r="I270" s="1">
        <f t="shared" si="19"/>
        <v>4.5355468793031424</v>
      </c>
    </row>
    <row r="271" spans="1:9" x14ac:dyDescent="0.5">
      <c r="A271" t="s">
        <v>269</v>
      </c>
      <c r="B271" s="1">
        <v>9.9283099999999999E-2</v>
      </c>
      <c r="C271" s="1">
        <v>0.114874209672177</v>
      </c>
      <c r="D271" s="1">
        <v>9.4959113552091606E-2</v>
      </c>
      <c r="E271" s="1">
        <v>9.9283100142613295E-2</v>
      </c>
      <c r="F271" s="1">
        <f t="shared" si="16"/>
        <v>0.10209988084172048</v>
      </c>
      <c r="G271" s="1">
        <f t="shared" si="17"/>
        <v>8.7567601004483516E-3</v>
      </c>
      <c r="H271" s="1">
        <f t="shared" si="18"/>
        <v>7.5829600540375422E-2</v>
      </c>
      <c r="I271" s="1">
        <f t="shared" si="19"/>
        <v>0.12837016114306554</v>
      </c>
    </row>
    <row r="272" spans="1:9" x14ac:dyDescent="0.5">
      <c r="A272" t="s">
        <v>270</v>
      </c>
      <c r="B272" s="1">
        <v>5.1642799869999996</v>
      </c>
      <c r="C272" s="1">
        <v>5.15254447277945</v>
      </c>
      <c r="D272" s="1">
        <v>5.1529918677362803</v>
      </c>
      <c r="E272" s="1">
        <v>5.1642799866469797</v>
      </c>
      <c r="F272" s="1">
        <f t="shared" si="16"/>
        <v>5.1585240785406778</v>
      </c>
      <c r="G272" s="1">
        <f t="shared" si="17"/>
        <v>6.6488595955568521E-3</v>
      </c>
      <c r="H272" s="1">
        <f t="shared" si="18"/>
        <v>5.1385774997540077</v>
      </c>
      <c r="I272" s="1">
        <f t="shared" si="19"/>
        <v>5.178470657327348</v>
      </c>
    </row>
    <row r="273" spans="1:9" x14ac:dyDescent="0.5">
      <c r="A273" t="s">
        <v>271</v>
      </c>
      <c r="B273" s="1">
        <v>0.52112203300000004</v>
      </c>
      <c r="C273" s="1">
        <v>0.56006396097618205</v>
      </c>
      <c r="D273" s="1">
        <v>0.57489614614828999</v>
      </c>
      <c r="E273" s="1">
        <v>0.52112203329795603</v>
      </c>
      <c r="F273" s="1">
        <f t="shared" si="16"/>
        <v>0.54430104335560703</v>
      </c>
      <c r="G273" s="1">
        <f t="shared" si="17"/>
        <v>2.7441227591137957E-2</v>
      </c>
      <c r="H273" s="1">
        <f t="shared" si="18"/>
        <v>0.46197736058219319</v>
      </c>
      <c r="I273" s="1">
        <f t="shared" si="19"/>
        <v>0.62662472612902087</v>
      </c>
    </row>
    <row r="274" spans="1:9" x14ac:dyDescent="0.5">
      <c r="A274" t="s">
        <v>272</v>
      </c>
      <c r="B274" s="1">
        <v>77.674031260000007</v>
      </c>
      <c r="C274" s="1">
        <v>78.627324104308997</v>
      </c>
      <c r="D274" s="1">
        <v>92.961025238037095</v>
      </c>
      <c r="E274" s="1">
        <v>76.751232147216797</v>
      </c>
      <c r="F274" s="1">
        <f t="shared" si="16"/>
        <v>81.503403187390731</v>
      </c>
      <c r="G274" s="1">
        <f t="shared" si="17"/>
        <v>7.676721368330667</v>
      </c>
      <c r="H274" s="1">
        <v>0</v>
      </c>
      <c r="I274" s="1">
        <v>100000000</v>
      </c>
    </row>
    <row r="275" spans="1:9" x14ac:dyDescent="0.5">
      <c r="A275" t="s">
        <v>273</v>
      </c>
      <c r="B275" s="1">
        <v>8.4675690170000006</v>
      </c>
      <c r="C275" s="1">
        <v>2.1296304458597599</v>
      </c>
      <c r="D275" s="1">
        <v>7.0413568950043199</v>
      </c>
      <c r="E275" s="1">
        <v>7.1973708562077503</v>
      </c>
      <c r="F275" s="1">
        <f t="shared" si="16"/>
        <v>6.2089818035179585</v>
      </c>
      <c r="G275" s="1">
        <f t="shared" si="17"/>
        <v>2.7935690977992218</v>
      </c>
      <c r="H275" s="1">
        <v>0</v>
      </c>
      <c r="I275" s="1">
        <v>100000000</v>
      </c>
    </row>
    <row r="276" spans="1:9" x14ac:dyDescent="0.5">
      <c r="A276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f t="shared" si="16"/>
        <v>0</v>
      </c>
      <c r="G276" s="1">
        <f t="shared" si="17"/>
        <v>0</v>
      </c>
      <c r="H276" s="1">
        <f t="shared" si="18"/>
        <v>0</v>
      </c>
      <c r="I276" s="1">
        <f t="shared" si="19"/>
        <v>0</v>
      </c>
    </row>
    <row r="277" spans="1:9" x14ac:dyDescent="0.5">
      <c r="A277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f t="shared" si="16"/>
        <v>0</v>
      </c>
      <c r="G277" s="1">
        <f t="shared" si="17"/>
        <v>0</v>
      </c>
      <c r="H277" s="1">
        <f t="shared" si="18"/>
        <v>0</v>
      </c>
      <c r="I277" s="1">
        <f t="shared" si="19"/>
        <v>0</v>
      </c>
    </row>
    <row r="278" spans="1:9" x14ac:dyDescent="0.5">
      <c r="A278" t="s">
        <v>276</v>
      </c>
      <c r="B278" s="1">
        <v>2.4380999999999999</v>
      </c>
      <c r="C278" s="1">
        <v>2.4380999999999999</v>
      </c>
      <c r="D278" s="1">
        <v>2.4380999999999999</v>
      </c>
      <c r="E278" s="1">
        <v>2.4380999999999999</v>
      </c>
      <c r="F278" s="1">
        <f t="shared" si="16"/>
        <v>2.4380999999999999</v>
      </c>
      <c r="G278" s="1">
        <f t="shared" si="17"/>
        <v>0</v>
      </c>
      <c r="H278" s="1">
        <f t="shared" si="18"/>
        <v>2.4380999999999999</v>
      </c>
      <c r="I278" s="1">
        <f t="shared" si="19"/>
        <v>2.4380999999999999</v>
      </c>
    </row>
    <row r="279" spans="1:9" x14ac:dyDescent="0.5">
      <c r="A279" t="s">
        <v>277</v>
      </c>
      <c r="B279" s="1">
        <v>0.41685687700000001</v>
      </c>
      <c r="C279" s="1">
        <v>0.41685687658422399</v>
      </c>
      <c r="D279" s="1">
        <v>0.41685687658422399</v>
      </c>
      <c r="E279" s="1">
        <v>0.41685687658422399</v>
      </c>
      <c r="F279" s="1">
        <f t="shared" si="16"/>
        <v>0.41685687668816801</v>
      </c>
      <c r="G279" s="1">
        <f t="shared" si="17"/>
        <v>2.0788801236015848E-10</v>
      </c>
      <c r="H279" s="1">
        <f t="shared" si="18"/>
        <v>0.41685687606450395</v>
      </c>
      <c r="I279" s="1">
        <f t="shared" si="19"/>
        <v>0.41685687731183207</v>
      </c>
    </row>
    <row r="280" spans="1:9" x14ac:dyDescent="0.5">
      <c r="A280" t="s">
        <v>278</v>
      </c>
      <c r="B280" s="1">
        <v>5.6974999999999998</v>
      </c>
      <c r="C280" s="1">
        <v>5.6974999999999998</v>
      </c>
      <c r="D280" s="1">
        <v>5.6974999999999998</v>
      </c>
      <c r="E280" s="1">
        <v>5.6974999999999998</v>
      </c>
      <c r="F280" s="1">
        <f t="shared" si="16"/>
        <v>5.6974999999999998</v>
      </c>
      <c r="G280" s="1">
        <f t="shared" si="17"/>
        <v>0</v>
      </c>
      <c r="H280" s="1">
        <f t="shared" si="18"/>
        <v>5.6974999999999998</v>
      </c>
      <c r="I280" s="1">
        <f t="shared" si="19"/>
        <v>5.6974999999999998</v>
      </c>
    </row>
    <row r="281" spans="1:9" x14ac:dyDescent="0.5">
      <c r="A281" t="s">
        <v>279</v>
      </c>
      <c r="B281" s="1">
        <v>0.77285304799999999</v>
      </c>
      <c r="C281" s="1">
        <v>0.77285304769621799</v>
      </c>
      <c r="D281" s="1">
        <v>0.77285304769621799</v>
      </c>
      <c r="E281" s="1">
        <v>0.77285304769621799</v>
      </c>
      <c r="F281" s="1">
        <f t="shared" si="16"/>
        <v>0.77285304777216357</v>
      </c>
      <c r="G281" s="1">
        <f t="shared" si="17"/>
        <v>1.5189099977777887E-10</v>
      </c>
      <c r="H281" s="1">
        <f t="shared" si="18"/>
        <v>0.77285304731649052</v>
      </c>
      <c r="I281" s="1">
        <f t="shared" si="19"/>
        <v>0.77285304822783663</v>
      </c>
    </row>
    <row r="282" spans="1:9" x14ac:dyDescent="0.5">
      <c r="A282" t="s">
        <v>280</v>
      </c>
      <c r="B282" s="1">
        <v>2.7206000000000001</v>
      </c>
      <c r="C282" s="1">
        <v>2.7206000000000001</v>
      </c>
      <c r="D282" s="1">
        <v>2.7206000000000001</v>
      </c>
      <c r="E282" s="1">
        <v>2.7206000000000001</v>
      </c>
      <c r="F282" s="1">
        <f t="shared" si="16"/>
        <v>2.7206000000000001</v>
      </c>
      <c r="G282" s="1">
        <f t="shared" si="17"/>
        <v>0</v>
      </c>
      <c r="H282" s="1">
        <f t="shared" si="18"/>
        <v>2.7206000000000001</v>
      </c>
      <c r="I282" s="1">
        <f t="shared" si="19"/>
        <v>2.7206000000000001</v>
      </c>
    </row>
    <row r="283" spans="1:9" x14ac:dyDescent="0.5">
      <c r="A283" t="s">
        <v>281</v>
      </c>
      <c r="B283" s="1">
        <v>1.0637092539999999</v>
      </c>
      <c r="C283" s="1">
        <v>1.0637092543443301</v>
      </c>
      <c r="D283" s="1">
        <v>1.0637092543443301</v>
      </c>
      <c r="E283" s="1">
        <v>1.0637092543443301</v>
      </c>
      <c r="F283" s="1">
        <f t="shared" si="16"/>
        <v>1.0637092542582474</v>
      </c>
      <c r="G283" s="1">
        <f t="shared" si="17"/>
        <v>1.7216505998629197E-10</v>
      </c>
      <c r="H283" s="1">
        <f t="shared" si="18"/>
        <v>1.0637092537417523</v>
      </c>
      <c r="I283" s="1">
        <f t="shared" si="19"/>
        <v>1.0637092547747424</v>
      </c>
    </row>
    <row r="284" spans="1:9" x14ac:dyDescent="0.5">
      <c r="A284" t="s">
        <v>282</v>
      </c>
      <c r="B284" s="1">
        <v>8.5000000000000006E-2</v>
      </c>
      <c r="C284" s="1">
        <v>8.4999999999999895E-2</v>
      </c>
      <c r="D284" s="1">
        <v>8.4999999999999895E-2</v>
      </c>
      <c r="E284" s="1">
        <v>8.4999999999999895E-2</v>
      </c>
      <c r="F284" s="1">
        <f t="shared" si="16"/>
        <v>8.4999999999999923E-2</v>
      </c>
      <c r="G284" s="1">
        <f t="shared" si="17"/>
        <v>5.5511151231257827E-17</v>
      </c>
      <c r="H284" s="1">
        <f t="shared" si="18"/>
        <v>8.4999999999999756E-2</v>
      </c>
      <c r="I284" s="1">
        <f t="shared" si="19"/>
        <v>8.5000000000000089E-2</v>
      </c>
    </row>
    <row r="285" spans="1:9" x14ac:dyDescent="0.5">
      <c r="A285" t="s">
        <v>283</v>
      </c>
      <c r="B285" s="1">
        <v>1.3960261E-2</v>
      </c>
      <c r="C285" s="1">
        <v>1.39602610609146E-2</v>
      </c>
      <c r="D285" s="1">
        <v>1.39602610609146E-2</v>
      </c>
      <c r="E285" s="1">
        <v>1.39602610609146E-2</v>
      </c>
      <c r="F285" s="1">
        <f t="shared" si="16"/>
        <v>1.396026104568595E-2</v>
      </c>
      <c r="G285" s="1">
        <f t="shared" si="17"/>
        <v>3.045729987660728E-11</v>
      </c>
      <c r="H285" s="1">
        <f t="shared" si="18"/>
        <v>1.396026095431405E-2</v>
      </c>
      <c r="I285" s="1">
        <f t="shared" si="19"/>
        <v>1.3960261137057849E-2</v>
      </c>
    </row>
    <row r="286" spans="1:9" x14ac:dyDescent="0.5">
      <c r="A286" t="s">
        <v>284</v>
      </c>
      <c r="B286" s="1">
        <v>85.057299999999998</v>
      </c>
      <c r="C286" s="1">
        <v>85.057299999999998</v>
      </c>
      <c r="D286" s="1">
        <v>85.057299999999998</v>
      </c>
      <c r="E286" s="1">
        <v>85.057299999999998</v>
      </c>
      <c r="F286" s="1">
        <f t="shared" si="16"/>
        <v>85.057299999999998</v>
      </c>
      <c r="G286" s="1">
        <f t="shared" si="17"/>
        <v>0</v>
      </c>
      <c r="H286" s="1">
        <f t="shared" si="18"/>
        <v>85.057299999999998</v>
      </c>
      <c r="I286" s="1">
        <f t="shared" si="19"/>
        <v>85.057299999999998</v>
      </c>
    </row>
    <row r="287" spans="1:9" x14ac:dyDescent="0.5">
      <c r="A287" t="s">
        <v>285</v>
      </c>
      <c r="B287" s="1">
        <v>1.950653113</v>
      </c>
      <c r="C287" s="1">
        <v>1.9506531128487801</v>
      </c>
      <c r="D287" s="1">
        <v>1.9506531128487801</v>
      </c>
      <c r="E287" s="1">
        <v>1.9506531128487801</v>
      </c>
      <c r="F287" s="1">
        <f t="shared" si="16"/>
        <v>1.9506531128865849</v>
      </c>
      <c r="G287" s="1">
        <f t="shared" si="17"/>
        <v>7.560996273536557E-11</v>
      </c>
      <c r="H287" s="1">
        <f t="shared" si="18"/>
        <v>1.9506531126597551</v>
      </c>
      <c r="I287" s="1">
        <f t="shared" si="19"/>
        <v>1.9506531131134148</v>
      </c>
    </row>
    <row r="288" spans="1:9" x14ac:dyDescent="0.5">
      <c r="A288" t="s">
        <v>286</v>
      </c>
      <c r="B288" s="1">
        <v>0.99870000000000003</v>
      </c>
      <c r="C288" s="1">
        <v>0.99870000000000003</v>
      </c>
      <c r="D288" s="1">
        <v>0.99870000000000003</v>
      </c>
      <c r="E288" s="1">
        <v>0.99870000000000003</v>
      </c>
      <c r="F288" s="1">
        <f t="shared" si="16"/>
        <v>0.99870000000000003</v>
      </c>
      <c r="G288" s="1">
        <f t="shared" si="17"/>
        <v>0</v>
      </c>
      <c r="H288" s="1">
        <f t="shared" si="18"/>
        <v>0.99870000000000003</v>
      </c>
      <c r="I288" s="1">
        <f t="shared" si="19"/>
        <v>0.99870000000000003</v>
      </c>
    </row>
    <row r="289" spans="1:9" x14ac:dyDescent="0.5">
      <c r="A289" t="s">
        <v>287</v>
      </c>
      <c r="B289" s="1">
        <v>4.83046E-4</v>
      </c>
      <c r="C289" s="1">
        <v>4.8304589153959999E-4</v>
      </c>
      <c r="D289" s="1">
        <v>4.8304589153959999E-4</v>
      </c>
      <c r="E289" s="1">
        <v>4.8304589153959999E-4</v>
      </c>
      <c r="F289" s="1">
        <f t="shared" si="16"/>
        <v>4.8304591865470003E-4</v>
      </c>
      <c r="G289" s="1">
        <f t="shared" si="17"/>
        <v>5.4230200001838605E-11</v>
      </c>
      <c r="H289" s="1">
        <f t="shared" si="18"/>
        <v>4.830457559641E-4</v>
      </c>
      <c r="I289" s="1">
        <f t="shared" si="19"/>
        <v>4.8304608134530007E-4</v>
      </c>
    </row>
    <row r="290" spans="1:9" x14ac:dyDescent="0.5">
      <c r="A290" t="s">
        <v>288</v>
      </c>
      <c r="B290" s="1">
        <v>-2.2540990000000001</v>
      </c>
      <c r="C290" s="1">
        <v>-2.2540990000000001</v>
      </c>
      <c r="D290" s="1">
        <v>-2.2540990000000001</v>
      </c>
      <c r="E290" s="1">
        <v>-2.2540990000000001</v>
      </c>
      <c r="F290" s="1">
        <f t="shared" si="16"/>
        <v>-2.2540990000000001</v>
      </c>
      <c r="G290" s="1">
        <f t="shared" si="17"/>
        <v>0</v>
      </c>
      <c r="H290" s="1">
        <f t="shared" si="18"/>
        <v>-2.2540990000000001</v>
      </c>
      <c r="I290" s="1">
        <f t="shared" si="19"/>
        <v>-2.2540990000000001</v>
      </c>
    </row>
    <row r="291" spans="1:9" x14ac:dyDescent="0.5">
      <c r="A291" t="s">
        <v>289</v>
      </c>
      <c r="B291" s="1">
        <v>9.9786552959999995</v>
      </c>
      <c r="C291" s="1">
        <v>9.9786552961669699</v>
      </c>
      <c r="D291" s="1">
        <v>9.9786552961669699</v>
      </c>
      <c r="E291" s="1">
        <v>9.9786552961669699</v>
      </c>
      <c r="F291" s="1">
        <f t="shared" si="16"/>
        <v>9.9786552961252273</v>
      </c>
      <c r="G291" s="1">
        <f t="shared" si="17"/>
        <v>8.3485218738132971E-11</v>
      </c>
      <c r="H291" s="1">
        <f t="shared" si="18"/>
        <v>9.9786552958747716</v>
      </c>
      <c r="I291" s="1">
        <f t="shared" si="19"/>
        <v>9.9786552963756829</v>
      </c>
    </row>
    <row r="292" spans="1:9" x14ac:dyDescent="0.5">
      <c r="A292" t="s">
        <v>290</v>
      </c>
      <c r="B292" s="1">
        <v>43.190199999999997</v>
      </c>
      <c r="C292" s="1">
        <v>43.190199999999997</v>
      </c>
      <c r="D292" s="1">
        <v>43.190199999999997</v>
      </c>
      <c r="E292" s="1">
        <v>43.190199999999997</v>
      </c>
      <c r="F292" s="1">
        <f t="shared" si="16"/>
        <v>43.190199999999997</v>
      </c>
      <c r="G292" s="1">
        <f t="shared" si="17"/>
        <v>0</v>
      </c>
      <c r="H292" s="1">
        <f t="shared" si="18"/>
        <v>43.190199999999997</v>
      </c>
      <c r="I292" s="1">
        <f t="shared" si="19"/>
        <v>43.190199999999997</v>
      </c>
    </row>
    <row r="293" spans="1:9" x14ac:dyDescent="0.5">
      <c r="A293" t="s">
        <v>291</v>
      </c>
      <c r="B293" s="1">
        <v>5.4340580249999997</v>
      </c>
      <c r="C293" s="1">
        <v>5.4340580252903203</v>
      </c>
      <c r="D293" s="1">
        <v>5.4340580252903203</v>
      </c>
      <c r="E293" s="1">
        <v>5.4340580252903203</v>
      </c>
      <c r="F293" s="1">
        <f t="shared" si="16"/>
        <v>5.4340580252177402</v>
      </c>
      <c r="G293" s="1">
        <f t="shared" si="17"/>
        <v>1.4516032820210967E-10</v>
      </c>
      <c r="H293" s="1">
        <f t="shared" si="18"/>
        <v>5.4340580247822592</v>
      </c>
      <c r="I293" s="1">
        <f t="shared" si="19"/>
        <v>5.4340580256532212</v>
      </c>
    </row>
    <row r="294" spans="1:9" x14ac:dyDescent="0.5">
      <c r="A294" t="s">
        <v>292</v>
      </c>
      <c r="B294" s="1">
        <v>65.373500000000007</v>
      </c>
      <c r="C294" s="1">
        <v>65.373500000000007</v>
      </c>
      <c r="D294" s="1">
        <v>65.373500000000007</v>
      </c>
      <c r="E294" s="1">
        <v>65.373500000000007</v>
      </c>
      <c r="F294" s="1">
        <f t="shared" si="16"/>
        <v>65.373500000000007</v>
      </c>
      <c r="G294" s="1">
        <f t="shared" si="17"/>
        <v>0</v>
      </c>
      <c r="H294" s="1">
        <f t="shared" si="18"/>
        <v>65.373500000000007</v>
      </c>
      <c r="I294" s="1">
        <f t="shared" si="19"/>
        <v>65.373500000000007</v>
      </c>
    </row>
    <row r="295" spans="1:9" x14ac:dyDescent="0.5">
      <c r="A295" t="s">
        <v>293</v>
      </c>
      <c r="B295" s="1">
        <v>9.0609993959999997</v>
      </c>
      <c r="C295" s="1">
        <v>9.0609993960686008</v>
      </c>
      <c r="D295" s="1">
        <v>9.0609993960686008</v>
      </c>
      <c r="E295" s="1">
        <v>9.0609993960686008</v>
      </c>
      <c r="F295" s="1">
        <f t="shared" si="16"/>
        <v>9.0609993960514519</v>
      </c>
      <c r="G295" s="1">
        <f t="shared" si="17"/>
        <v>3.4300562424896859E-11</v>
      </c>
      <c r="H295" s="1">
        <f t="shared" si="18"/>
        <v>9.0609993959485493</v>
      </c>
      <c r="I295" s="1">
        <f t="shared" si="19"/>
        <v>9.0609993961543545</v>
      </c>
    </row>
    <row r="296" spans="1:9" x14ac:dyDescent="0.5">
      <c r="A296" t="s">
        <v>294</v>
      </c>
      <c r="B296" s="1">
        <v>129.1096</v>
      </c>
      <c r="C296" s="1">
        <v>129.1096</v>
      </c>
      <c r="D296" s="1">
        <v>129.1096</v>
      </c>
      <c r="E296" s="1">
        <v>129.1096</v>
      </c>
      <c r="F296" s="1">
        <f t="shared" si="16"/>
        <v>129.1096</v>
      </c>
      <c r="G296" s="1">
        <f t="shared" si="17"/>
        <v>0</v>
      </c>
      <c r="H296" s="1">
        <f t="shared" si="18"/>
        <v>129.1096</v>
      </c>
      <c r="I296" s="1">
        <f t="shared" si="19"/>
        <v>129.1096</v>
      </c>
    </row>
    <row r="297" spans="1:9" x14ac:dyDescent="0.5">
      <c r="A297" t="s">
        <v>295</v>
      </c>
      <c r="B297" s="1">
        <v>112.8475316</v>
      </c>
      <c r="C297" s="1">
        <v>112.847531562822</v>
      </c>
      <c r="D297" s="1">
        <v>112.847531562822</v>
      </c>
      <c r="E297" s="1">
        <v>112.847531562822</v>
      </c>
      <c r="F297" s="1">
        <f t="shared" si="16"/>
        <v>112.84753157211649</v>
      </c>
      <c r="G297" s="1">
        <f t="shared" si="17"/>
        <v>1.8588998784708109E-8</v>
      </c>
      <c r="H297" s="1">
        <f t="shared" si="18"/>
        <v>112.84753151634951</v>
      </c>
      <c r="I297" s="1">
        <f t="shared" si="19"/>
        <v>112.84753162788348</v>
      </c>
    </row>
    <row r="298" spans="1:9" x14ac:dyDescent="0.5">
      <c r="A298" t="s">
        <v>296</v>
      </c>
      <c r="B298" s="1">
        <v>1.5071000000000001</v>
      </c>
      <c r="C298" s="1">
        <v>1.5071000000000001</v>
      </c>
      <c r="D298" s="1">
        <v>1.5071000000000001</v>
      </c>
      <c r="E298" s="1">
        <v>1.5071000000000001</v>
      </c>
      <c r="F298" s="1">
        <f t="shared" si="16"/>
        <v>1.5071000000000001</v>
      </c>
      <c r="G298" s="1">
        <f t="shared" si="17"/>
        <v>0</v>
      </c>
      <c r="H298" s="1">
        <f t="shared" si="18"/>
        <v>1.5071000000000001</v>
      </c>
      <c r="I298" s="1">
        <f t="shared" si="19"/>
        <v>1.5071000000000001</v>
      </c>
    </row>
    <row r="299" spans="1:9" x14ac:dyDescent="0.5">
      <c r="A299" t="s">
        <v>297</v>
      </c>
      <c r="B299" s="1">
        <v>0.18247888800000001</v>
      </c>
      <c r="C299" s="1">
        <v>0.18247888766770901</v>
      </c>
      <c r="D299" s="1">
        <v>0.18247888766770901</v>
      </c>
      <c r="E299" s="1">
        <v>0.18247888766770901</v>
      </c>
      <c r="F299" s="1">
        <f t="shared" si="16"/>
        <v>0.18247888775078178</v>
      </c>
      <c r="G299" s="1">
        <f t="shared" si="17"/>
        <v>1.6614550013560776E-10</v>
      </c>
      <c r="H299" s="1">
        <f t="shared" si="18"/>
        <v>0.18247888725234529</v>
      </c>
      <c r="I299" s="1">
        <f t="shared" si="19"/>
        <v>0.18247888824921826</v>
      </c>
    </row>
    <row r="300" spans="1:9" x14ac:dyDescent="0.5">
      <c r="A300" t="s">
        <v>298</v>
      </c>
      <c r="B300" s="1">
        <v>-75.342799999999997</v>
      </c>
      <c r="C300" s="1">
        <v>-75.342799999999997</v>
      </c>
      <c r="D300" s="1">
        <v>-75.342799999999997</v>
      </c>
      <c r="E300" s="1">
        <v>-75.342799999999997</v>
      </c>
      <c r="F300" s="1">
        <f t="shared" si="16"/>
        <v>-75.342799999999997</v>
      </c>
      <c r="G300" s="1">
        <f t="shared" si="17"/>
        <v>0</v>
      </c>
      <c r="H300" s="1">
        <f t="shared" si="18"/>
        <v>-75.342799999999997</v>
      </c>
      <c r="I300" s="1">
        <f t="shared" si="19"/>
        <v>-75.342799999999997</v>
      </c>
    </row>
    <row r="301" spans="1:9" x14ac:dyDescent="0.5">
      <c r="A301" t="s">
        <v>299</v>
      </c>
      <c r="B301" s="1">
        <v>37.032428099999997</v>
      </c>
      <c r="C301" s="1">
        <v>37.032428104147897</v>
      </c>
      <c r="D301" s="1">
        <v>37.032428104147897</v>
      </c>
      <c r="E301" s="1">
        <v>37.032428104147897</v>
      </c>
      <c r="F301" s="1">
        <f t="shared" si="16"/>
        <v>37.032428103110924</v>
      </c>
      <c r="G301" s="1">
        <f t="shared" si="17"/>
        <v>2.0739499007059885E-9</v>
      </c>
      <c r="H301" s="1">
        <f t="shared" si="18"/>
        <v>37.032428096889078</v>
      </c>
      <c r="I301" s="1">
        <f t="shared" si="19"/>
        <v>37.03242810933277</v>
      </c>
    </row>
    <row r="302" spans="1:9" x14ac:dyDescent="0.5">
      <c r="A302" t="s">
        <v>300</v>
      </c>
      <c r="B302" s="1">
        <v>0.82340000000000002</v>
      </c>
      <c r="C302" s="1">
        <v>0.82340000000000002</v>
      </c>
      <c r="D302" s="1">
        <v>0.82340000000000002</v>
      </c>
      <c r="E302" s="1">
        <v>0.82340000000000002</v>
      </c>
      <c r="F302" s="1">
        <f t="shared" si="16"/>
        <v>0.82340000000000002</v>
      </c>
      <c r="G302" s="1">
        <f t="shared" si="17"/>
        <v>0</v>
      </c>
      <c r="H302" s="1">
        <f t="shared" si="18"/>
        <v>0.82340000000000002</v>
      </c>
      <c r="I302" s="1">
        <f t="shared" si="19"/>
        <v>0.82340000000000002</v>
      </c>
    </row>
    <row r="303" spans="1:9" x14ac:dyDescent="0.5">
      <c r="A303" t="s">
        <v>301</v>
      </c>
      <c r="B303" s="1">
        <v>6.9919318999999994E-2</v>
      </c>
      <c r="C303" s="1">
        <v>6.9919318583000406E-2</v>
      </c>
      <c r="D303" s="1">
        <v>6.9919318583000406E-2</v>
      </c>
      <c r="E303" s="1">
        <v>6.9919318583000406E-2</v>
      </c>
      <c r="F303" s="1">
        <f t="shared" si="16"/>
        <v>6.9919318687250306E-2</v>
      </c>
      <c r="G303" s="1">
        <f t="shared" si="17"/>
        <v>2.084997938189837E-10</v>
      </c>
      <c r="H303" s="1">
        <f t="shared" si="18"/>
        <v>6.9919318061750918E-2</v>
      </c>
      <c r="I303" s="1">
        <f t="shared" si="19"/>
        <v>6.9919319312749695E-2</v>
      </c>
    </row>
    <row r="304" spans="1:9" x14ac:dyDescent="0.5">
      <c r="A304" t="s">
        <v>302</v>
      </c>
      <c r="B304" s="1">
        <v>0.98039721800000001</v>
      </c>
      <c r="C304" s="1">
        <v>0.980397217891668</v>
      </c>
      <c r="D304" s="1">
        <v>0.980397217891668</v>
      </c>
      <c r="E304" s="1">
        <v>0.980397217891668</v>
      </c>
      <c r="F304" s="1">
        <f t="shared" si="16"/>
        <v>0.98039721791875101</v>
      </c>
      <c r="G304" s="1">
        <f t="shared" si="17"/>
        <v>5.4166005014621987E-11</v>
      </c>
      <c r="H304" s="1">
        <f t="shared" si="18"/>
        <v>0.98039721775625299</v>
      </c>
      <c r="I304" s="1">
        <f t="shared" si="19"/>
        <v>0.98039721808124902</v>
      </c>
    </row>
    <row r="305" spans="1:9" x14ac:dyDescent="0.5">
      <c r="A305" t="s">
        <v>303</v>
      </c>
      <c r="B305" s="1">
        <v>0.132988675</v>
      </c>
      <c r="C305" s="1">
        <v>0.13298867534891901</v>
      </c>
      <c r="D305" s="1">
        <v>0.13298867534891901</v>
      </c>
      <c r="E305" s="1">
        <v>0.13298867534891901</v>
      </c>
      <c r="F305" s="1">
        <f t="shared" si="16"/>
        <v>0.13298867526168925</v>
      </c>
      <c r="G305" s="1">
        <f t="shared" si="17"/>
        <v>1.7445950240002617E-10</v>
      </c>
      <c r="H305" s="1">
        <f t="shared" si="18"/>
        <v>0.13298867473831075</v>
      </c>
      <c r="I305" s="1">
        <f t="shared" si="19"/>
        <v>0.13298867578506776</v>
      </c>
    </row>
    <row r="306" spans="1:9" x14ac:dyDescent="0.5">
      <c r="A306" t="s">
        <v>304</v>
      </c>
      <c r="B306" s="1">
        <v>11.249143930000001</v>
      </c>
      <c r="C306" s="1">
        <v>11.249143926957601</v>
      </c>
      <c r="D306" s="1">
        <v>11.249143926957601</v>
      </c>
      <c r="E306" s="1">
        <v>11.249143926957601</v>
      </c>
      <c r="F306" s="1">
        <f t="shared" si="16"/>
        <v>11.249143927718201</v>
      </c>
      <c r="G306" s="1">
        <f t="shared" si="17"/>
        <v>1.5212000548104652E-9</v>
      </c>
      <c r="H306" s="1">
        <f t="shared" si="18"/>
        <v>11.249143923154602</v>
      </c>
      <c r="I306" s="1">
        <f t="shared" si="19"/>
        <v>11.2491439322818</v>
      </c>
    </row>
    <row r="307" spans="1:9" x14ac:dyDescent="0.5">
      <c r="A307" t="s">
        <v>305</v>
      </c>
      <c r="B307" s="1">
        <v>1.559171321</v>
      </c>
      <c r="C307" s="1">
        <v>1.5591713206184701</v>
      </c>
      <c r="D307" s="1">
        <v>1.5591713206184701</v>
      </c>
      <c r="E307" s="1">
        <v>1.5591713206184701</v>
      </c>
      <c r="F307" s="1">
        <f t="shared" si="16"/>
        <v>1.5591713207138524</v>
      </c>
      <c r="G307" s="1">
        <f t="shared" si="17"/>
        <v>1.9076495938468031E-10</v>
      </c>
      <c r="H307" s="1">
        <f t="shared" si="18"/>
        <v>1.5591713201415576</v>
      </c>
      <c r="I307" s="1">
        <f t="shared" si="19"/>
        <v>1.5591713212861473</v>
      </c>
    </row>
    <row r="308" spans="1:9" x14ac:dyDescent="0.5">
      <c r="A308" t="s">
        <v>306</v>
      </c>
      <c r="B308" s="1">
        <v>21992.841769999999</v>
      </c>
      <c r="C308" s="1">
        <v>21819.043707847501</v>
      </c>
      <c r="D308" s="1">
        <v>24406.686639785701</v>
      </c>
      <c r="E308" s="1">
        <v>17550.0242948532</v>
      </c>
      <c r="F308" s="1">
        <f t="shared" si="16"/>
        <v>21442.149103121599</v>
      </c>
      <c r="G308" s="1">
        <f t="shared" si="17"/>
        <v>2850.8729824303723</v>
      </c>
      <c r="H308" s="1">
        <v>0</v>
      </c>
      <c r="I308" s="1">
        <v>100000000</v>
      </c>
    </row>
    <row r="309" spans="1:9" x14ac:dyDescent="0.5">
      <c r="A309" t="s">
        <v>307</v>
      </c>
      <c r="B309" s="1">
        <v>317.0756816</v>
      </c>
      <c r="C309" s="1">
        <v>106.50495269437501</v>
      </c>
      <c r="D309" s="1">
        <v>214.37153907732599</v>
      </c>
      <c r="E309" s="1">
        <v>694.75825571376595</v>
      </c>
      <c r="F309" s="1">
        <f t="shared" si="16"/>
        <v>333.1776072713667</v>
      </c>
      <c r="G309" s="1">
        <f t="shared" si="17"/>
        <v>255.92655945997447</v>
      </c>
      <c r="H309" s="1">
        <v>0</v>
      </c>
      <c r="I309" s="1">
        <v>100000000</v>
      </c>
    </row>
    <row r="310" spans="1:9" x14ac:dyDescent="0.5">
      <c r="A310" t="s">
        <v>308</v>
      </c>
      <c r="B310" s="1">
        <v>-4.292E-2</v>
      </c>
      <c r="C310" s="1">
        <v>-4.292E-2</v>
      </c>
      <c r="D310" s="1">
        <v>-4.292E-2</v>
      </c>
      <c r="E310" s="1">
        <v>-4.292E-2</v>
      </c>
      <c r="F310" s="1">
        <f t="shared" si="16"/>
        <v>-4.292E-2</v>
      </c>
      <c r="G310" s="1">
        <f t="shared" si="17"/>
        <v>0</v>
      </c>
      <c r="H310" s="1">
        <f t="shared" si="18"/>
        <v>-4.292E-2</v>
      </c>
      <c r="I310" s="1">
        <f t="shared" si="19"/>
        <v>-4.292E-2</v>
      </c>
    </row>
    <row r="311" spans="1:9" x14ac:dyDescent="0.5">
      <c r="A311" t="s">
        <v>309</v>
      </c>
      <c r="B311" s="1">
        <v>5.0815877000000002E-2</v>
      </c>
      <c r="C311" s="1">
        <v>5.0815876784065503E-2</v>
      </c>
      <c r="D311" s="1">
        <v>5.0815876784065503E-2</v>
      </c>
      <c r="E311" s="1">
        <v>5.0815876784065503E-2</v>
      </c>
      <c r="F311" s="1">
        <f t="shared" si="16"/>
        <v>5.0815876838049126E-2</v>
      </c>
      <c r="G311" s="1">
        <f t="shared" si="17"/>
        <v>1.0796724972395036E-10</v>
      </c>
      <c r="H311" s="1">
        <f t="shared" si="18"/>
        <v>5.0815876514147373E-2</v>
      </c>
      <c r="I311" s="1">
        <f t="shared" si="19"/>
        <v>5.0815877161950879E-2</v>
      </c>
    </row>
    <row r="312" spans="1:9" x14ac:dyDescent="0.5">
      <c r="A312" t="s">
        <v>310</v>
      </c>
      <c r="B312" s="1">
        <v>25.486599999999999</v>
      </c>
      <c r="C312" s="1">
        <v>25.486599999999999</v>
      </c>
      <c r="D312" s="1">
        <v>25.486599999999999</v>
      </c>
      <c r="E312" s="1">
        <v>25.486599999999999</v>
      </c>
      <c r="F312" s="1">
        <f t="shared" si="16"/>
        <v>25.486599999999999</v>
      </c>
      <c r="G312" s="1">
        <f t="shared" si="17"/>
        <v>0</v>
      </c>
      <c r="H312" s="1">
        <f t="shared" si="18"/>
        <v>25.486599999999999</v>
      </c>
      <c r="I312" s="1">
        <f t="shared" si="19"/>
        <v>25.486599999999999</v>
      </c>
    </row>
    <row r="313" spans="1:9" x14ac:dyDescent="0.5">
      <c r="A313" t="s">
        <v>311</v>
      </c>
      <c r="B313" s="1">
        <v>0.77076890899999995</v>
      </c>
      <c r="C313" s="1">
        <v>0.77076890901950001</v>
      </c>
      <c r="D313" s="1">
        <v>0.77076890901950001</v>
      </c>
      <c r="E313" s="1">
        <v>0.77076890901950001</v>
      </c>
      <c r="F313" s="1">
        <f t="shared" si="16"/>
        <v>0.77076890901462503</v>
      </c>
      <c r="G313" s="1">
        <f t="shared" si="17"/>
        <v>9.7500341134620306E-12</v>
      </c>
      <c r="H313" s="1">
        <f t="shared" si="18"/>
        <v>0.77076890898537487</v>
      </c>
      <c r="I313" s="1">
        <f t="shared" si="19"/>
        <v>0.77076890904387518</v>
      </c>
    </row>
    <row r="314" spans="1:9" x14ac:dyDescent="0.5">
      <c r="A314" t="s">
        <v>312</v>
      </c>
      <c r="B314" s="1">
        <v>34.837299999999999</v>
      </c>
      <c r="C314" s="1">
        <v>34.837299999999999</v>
      </c>
      <c r="D314" s="1">
        <v>34.837299999999999</v>
      </c>
      <c r="E314" s="1">
        <v>34.837299999999999</v>
      </c>
      <c r="F314" s="1">
        <f t="shared" si="16"/>
        <v>34.837299999999999</v>
      </c>
      <c r="G314" s="1">
        <f t="shared" si="17"/>
        <v>0</v>
      </c>
      <c r="H314" s="1">
        <f t="shared" si="18"/>
        <v>34.837299999999999</v>
      </c>
      <c r="I314" s="1">
        <f t="shared" si="19"/>
        <v>34.837299999999999</v>
      </c>
    </row>
    <row r="315" spans="1:9" x14ac:dyDescent="0.5">
      <c r="A315" t="s">
        <v>313</v>
      </c>
      <c r="B315" s="1">
        <v>0.97065774400000004</v>
      </c>
      <c r="C315" s="1">
        <v>0.970657743777669</v>
      </c>
      <c r="D315" s="1">
        <v>0.970657743777669</v>
      </c>
      <c r="E315" s="1">
        <v>0.970657743777669</v>
      </c>
      <c r="F315" s="1">
        <f t="shared" si="16"/>
        <v>0.97065774383325176</v>
      </c>
      <c r="G315" s="1">
        <f t="shared" si="17"/>
        <v>1.111655212326923E-10</v>
      </c>
      <c r="H315" s="1">
        <f t="shared" si="18"/>
        <v>0.9706577434997552</v>
      </c>
      <c r="I315" s="1">
        <f t="shared" si="19"/>
        <v>0.97065774416674833</v>
      </c>
    </row>
    <row r="316" spans="1:9" x14ac:dyDescent="0.5">
      <c r="A316" t="s">
        <v>314</v>
      </c>
      <c r="B316" s="1">
        <v>69.480099999999993</v>
      </c>
      <c r="C316" s="1">
        <v>69.480099999999993</v>
      </c>
      <c r="D316" s="1">
        <v>69.480099999999993</v>
      </c>
      <c r="E316" s="1">
        <v>69.480099999999993</v>
      </c>
      <c r="F316" s="1">
        <f t="shared" si="16"/>
        <v>69.480099999999993</v>
      </c>
      <c r="G316" s="1">
        <f t="shared" si="17"/>
        <v>0</v>
      </c>
      <c r="H316" s="1">
        <f t="shared" si="18"/>
        <v>69.480099999999993</v>
      </c>
      <c r="I316" s="1">
        <f t="shared" si="19"/>
        <v>69.480099999999993</v>
      </c>
    </row>
    <row r="317" spans="1:9" x14ac:dyDescent="0.5">
      <c r="A317" t="s">
        <v>315</v>
      </c>
      <c r="B317" s="1">
        <v>8.6437836420000007</v>
      </c>
      <c r="C317" s="1">
        <v>8.6437836423383203</v>
      </c>
      <c r="D317" s="1">
        <v>8.6437836423383203</v>
      </c>
      <c r="E317" s="1">
        <v>8.6437836423383203</v>
      </c>
      <c r="F317" s="1">
        <f t="shared" si="16"/>
        <v>8.6437836422537409</v>
      </c>
      <c r="G317" s="1">
        <f t="shared" si="17"/>
        <v>1.6915979728160399E-10</v>
      </c>
      <c r="H317" s="1">
        <f t="shared" si="18"/>
        <v>8.6437836417462606</v>
      </c>
      <c r="I317" s="1">
        <f t="shared" si="19"/>
        <v>8.6437836427612211</v>
      </c>
    </row>
    <row r="318" spans="1:9" x14ac:dyDescent="0.5">
      <c r="A318" t="s">
        <v>316</v>
      </c>
      <c r="B318" s="1">
        <v>0.88980000000000004</v>
      </c>
      <c r="C318" s="1">
        <v>0.88979999999999904</v>
      </c>
      <c r="D318" s="1">
        <v>0.88979999999999904</v>
      </c>
      <c r="E318" s="1">
        <v>0.88979999999999904</v>
      </c>
      <c r="F318" s="1">
        <f t="shared" si="16"/>
        <v>0.88979999999999926</v>
      </c>
      <c r="G318" s="1">
        <f t="shared" si="17"/>
        <v>5.0062728993692732E-16</v>
      </c>
      <c r="H318" s="1">
        <f t="shared" si="18"/>
        <v>0.8897999999999977</v>
      </c>
      <c r="I318" s="1">
        <f t="shared" si="19"/>
        <v>0.88980000000000081</v>
      </c>
    </row>
    <row r="319" spans="1:9" x14ac:dyDescent="0.5">
      <c r="A319" t="s">
        <v>317</v>
      </c>
      <c r="B319" s="1">
        <v>2.6397811E-2</v>
      </c>
      <c r="C319" s="1">
        <v>2.6397811357088699E-2</v>
      </c>
      <c r="D319" s="1">
        <v>2.6397811357088699E-2</v>
      </c>
      <c r="E319" s="1">
        <v>2.6397811357088699E-2</v>
      </c>
      <c r="F319" s="1">
        <f t="shared" si="16"/>
        <v>2.6397811267816523E-2</v>
      </c>
      <c r="G319" s="1">
        <f t="shared" si="17"/>
        <v>1.7854434944397648E-10</v>
      </c>
      <c r="H319" s="1">
        <f t="shared" si="18"/>
        <v>2.6397810732183474E-2</v>
      </c>
      <c r="I319" s="1">
        <f t="shared" si="19"/>
        <v>2.6397811803449571E-2</v>
      </c>
    </row>
    <row r="320" spans="1:9" x14ac:dyDescent="0.5">
      <c r="A320" t="s">
        <v>318</v>
      </c>
      <c r="B320" s="1">
        <v>8.5688999999999993</v>
      </c>
      <c r="C320" s="1">
        <v>8.5688999999999993</v>
      </c>
      <c r="D320" s="1">
        <v>8.5688999999999993</v>
      </c>
      <c r="E320" s="1">
        <v>8.5688999999999993</v>
      </c>
      <c r="F320" s="1">
        <f t="shared" si="16"/>
        <v>8.5688999999999993</v>
      </c>
      <c r="G320" s="1">
        <f t="shared" si="17"/>
        <v>0</v>
      </c>
      <c r="H320" s="1">
        <f t="shared" si="18"/>
        <v>8.5688999999999993</v>
      </c>
      <c r="I320" s="1">
        <f t="shared" si="19"/>
        <v>8.5688999999999993</v>
      </c>
    </row>
    <row r="321" spans="1:9" x14ac:dyDescent="0.5">
      <c r="A321" t="s">
        <v>319</v>
      </c>
      <c r="B321" s="1">
        <v>2.4629219070000001</v>
      </c>
      <c r="C321" s="1">
        <v>2.4629219074550899</v>
      </c>
      <c r="D321" s="1">
        <v>2.4629219074550899</v>
      </c>
      <c r="E321" s="1">
        <v>2.4629219074550899</v>
      </c>
      <c r="F321" s="1">
        <f t="shared" si="16"/>
        <v>2.4629219073413178</v>
      </c>
      <c r="G321" s="1">
        <f t="shared" si="17"/>
        <v>2.2754487183395426E-10</v>
      </c>
      <c r="H321" s="1">
        <f t="shared" si="18"/>
        <v>2.4629219066586829</v>
      </c>
      <c r="I321" s="1">
        <f t="shared" si="19"/>
        <v>2.4629219080239526</v>
      </c>
    </row>
    <row r="322" spans="1:9" x14ac:dyDescent="0.5">
      <c r="A322" t="s">
        <v>320</v>
      </c>
      <c r="B322" s="1">
        <v>0.95109999999999995</v>
      </c>
      <c r="C322" s="1">
        <v>0.95109999999999995</v>
      </c>
      <c r="D322" s="1">
        <v>0.95109999999999995</v>
      </c>
      <c r="E322" s="1">
        <v>0.95109999999999995</v>
      </c>
      <c r="F322" s="1">
        <f t="shared" si="16"/>
        <v>0.95109999999999995</v>
      </c>
      <c r="G322" s="1">
        <f t="shared" si="17"/>
        <v>0</v>
      </c>
      <c r="H322" s="1">
        <f t="shared" si="18"/>
        <v>0.95109999999999995</v>
      </c>
      <c r="I322" s="1">
        <f t="shared" si="19"/>
        <v>0.95109999999999995</v>
      </c>
    </row>
    <row r="323" spans="1:9" x14ac:dyDescent="0.5">
      <c r="A323" t="s">
        <v>321</v>
      </c>
      <c r="B323" s="1">
        <v>2.960856E-3</v>
      </c>
      <c r="C323" s="1">
        <v>2.9608557321602999E-3</v>
      </c>
      <c r="D323" s="1">
        <v>2.9608557321602999E-3</v>
      </c>
      <c r="E323" s="1">
        <v>2.9608557321602999E-3</v>
      </c>
      <c r="F323" s="1">
        <f t="shared" ref="F323:F386" si="20">AVERAGE(B323:E323)</f>
        <v>2.9608557991202249E-3</v>
      </c>
      <c r="G323" s="1">
        <f t="shared" ref="G323:G386" si="21">_xlfn.STDEV.S(B323:E323)</f>
        <v>1.3391985003580187E-10</v>
      </c>
      <c r="H323" s="1">
        <f t="shared" ref="H323:H386" si="22">F323-3*G323</f>
        <v>2.9608553973606748E-3</v>
      </c>
      <c r="I323" s="1">
        <f t="shared" ref="I323:I386" si="23">F323+3*G323</f>
        <v>2.960856200879775E-3</v>
      </c>
    </row>
    <row r="324" spans="1:9" x14ac:dyDescent="0.5">
      <c r="A324" t="s">
        <v>322</v>
      </c>
      <c r="B324" s="1">
        <v>0.30039199999999999</v>
      </c>
      <c r="C324" s="1">
        <v>0.30039199999999999</v>
      </c>
      <c r="D324" s="1">
        <v>0.30039199999999999</v>
      </c>
      <c r="E324" s="1">
        <v>0.30039199999999999</v>
      </c>
      <c r="F324" s="1">
        <f t="shared" si="20"/>
        <v>0.30039199999999999</v>
      </c>
      <c r="G324" s="1">
        <f t="shared" si="21"/>
        <v>0</v>
      </c>
      <c r="H324" s="1">
        <f t="shared" si="22"/>
        <v>0.30039199999999999</v>
      </c>
      <c r="I324" s="1">
        <f t="shared" si="23"/>
        <v>0.30039199999999999</v>
      </c>
    </row>
    <row r="325" spans="1:9" x14ac:dyDescent="0.5">
      <c r="A325" t="s">
        <v>323</v>
      </c>
      <c r="B325" s="1">
        <v>4.4333100070000002</v>
      </c>
      <c r="C325" s="1">
        <v>4.4333100071110598</v>
      </c>
      <c r="D325" s="1">
        <v>4.4333100071110598</v>
      </c>
      <c r="E325" s="1">
        <v>4.4333100071110598</v>
      </c>
      <c r="F325" s="1">
        <f t="shared" si="20"/>
        <v>4.4333100070832954</v>
      </c>
      <c r="G325" s="1">
        <f t="shared" si="21"/>
        <v>5.5529802980439211E-11</v>
      </c>
      <c r="H325" s="1">
        <f t="shared" si="22"/>
        <v>4.433310006916706</v>
      </c>
      <c r="I325" s="1">
        <f t="shared" si="23"/>
        <v>4.4333100072498848</v>
      </c>
    </row>
    <row r="326" spans="1:9" x14ac:dyDescent="0.5">
      <c r="A326" t="s">
        <v>324</v>
      </c>
      <c r="B326" s="1">
        <v>27.028600000000001</v>
      </c>
      <c r="C326" s="1">
        <v>27.028600000000001</v>
      </c>
      <c r="D326" s="1">
        <v>27.028600000000001</v>
      </c>
      <c r="E326" s="1">
        <v>27.028600000000001</v>
      </c>
      <c r="F326" s="1">
        <f t="shared" si="20"/>
        <v>27.028600000000001</v>
      </c>
      <c r="G326" s="1">
        <f t="shared" si="21"/>
        <v>0</v>
      </c>
      <c r="H326" s="1">
        <f t="shared" si="22"/>
        <v>27.028600000000001</v>
      </c>
      <c r="I326" s="1">
        <f t="shared" si="23"/>
        <v>27.028600000000001</v>
      </c>
    </row>
    <row r="327" spans="1:9" x14ac:dyDescent="0.5">
      <c r="A327" t="s">
        <v>325</v>
      </c>
      <c r="B327" s="1">
        <v>3.4906323590000001</v>
      </c>
      <c r="C327" s="1">
        <v>3.4906323591387598</v>
      </c>
      <c r="D327" s="1">
        <v>3.4906323591387598</v>
      </c>
      <c r="E327" s="1">
        <v>3.4906323591387598</v>
      </c>
      <c r="F327" s="1">
        <f t="shared" si="20"/>
        <v>3.4906323591040698</v>
      </c>
      <c r="G327" s="1">
        <f t="shared" si="21"/>
        <v>6.9379835210388799E-11</v>
      </c>
      <c r="H327" s="1">
        <f t="shared" si="22"/>
        <v>3.4906323588959305</v>
      </c>
      <c r="I327" s="1">
        <f t="shared" si="23"/>
        <v>3.4906323593122091</v>
      </c>
    </row>
    <row r="328" spans="1:9" x14ac:dyDescent="0.5">
      <c r="A328" t="s">
        <v>326</v>
      </c>
      <c r="B328" s="1">
        <v>36.886800000000001</v>
      </c>
      <c r="C328" s="1">
        <v>36.886800000000001</v>
      </c>
      <c r="D328" s="1">
        <v>36.886800000000001</v>
      </c>
      <c r="E328" s="1">
        <v>36.886800000000001</v>
      </c>
      <c r="F328" s="1">
        <f t="shared" si="20"/>
        <v>36.886800000000001</v>
      </c>
      <c r="G328" s="1">
        <f t="shared" si="21"/>
        <v>0</v>
      </c>
      <c r="H328" s="1">
        <f t="shared" si="22"/>
        <v>36.886800000000001</v>
      </c>
      <c r="I328" s="1">
        <f t="shared" si="23"/>
        <v>36.886800000000001</v>
      </c>
    </row>
    <row r="329" spans="1:9" x14ac:dyDescent="0.5">
      <c r="A329" t="s">
        <v>327</v>
      </c>
      <c r="B329" s="1">
        <v>5.2280044160000001</v>
      </c>
      <c r="C329" s="1">
        <v>5.2280044163885098</v>
      </c>
      <c r="D329" s="1">
        <v>5.2280044163885098</v>
      </c>
      <c r="E329" s="1">
        <v>5.2280044163885098</v>
      </c>
      <c r="F329" s="1">
        <f t="shared" si="20"/>
        <v>5.2280044162913821</v>
      </c>
      <c r="G329" s="1">
        <f t="shared" si="21"/>
        <v>1.9425483444041315E-10</v>
      </c>
      <c r="H329" s="1">
        <f t="shared" si="22"/>
        <v>5.2280044157086181</v>
      </c>
      <c r="I329" s="1">
        <f t="shared" si="23"/>
        <v>5.2280044168741462</v>
      </c>
    </row>
    <row r="330" spans="1:9" x14ac:dyDescent="0.5">
      <c r="A330" t="s">
        <v>328</v>
      </c>
      <c r="B330" s="1">
        <v>76.074200000000005</v>
      </c>
      <c r="C330" s="1">
        <v>76.074199999999905</v>
      </c>
      <c r="D330" s="1">
        <v>76.074199999999905</v>
      </c>
      <c r="E330" s="1">
        <v>76.074199999999905</v>
      </c>
      <c r="F330" s="1">
        <f t="shared" si="20"/>
        <v>76.074199999999934</v>
      </c>
      <c r="G330" s="1">
        <f t="shared" si="21"/>
        <v>4.9906881603821014E-14</v>
      </c>
      <c r="H330" s="1">
        <f t="shared" si="22"/>
        <v>76.074199999999777</v>
      </c>
      <c r="I330" s="1">
        <f t="shared" si="23"/>
        <v>76.07420000000009</v>
      </c>
    </row>
    <row r="331" spans="1:9" x14ac:dyDescent="0.5">
      <c r="A331" t="s">
        <v>329</v>
      </c>
      <c r="B331" s="1">
        <v>91.808109909999999</v>
      </c>
      <c r="C331" s="1">
        <v>91.808109913860804</v>
      </c>
      <c r="D331" s="1">
        <v>91.808109913860804</v>
      </c>
      <c r="E331" s="1">
        <v>91.808109913860804</v>
      </c>
      <c r="F331" s="1">
        <f t="shared" si="20"/>
        <v>91.808109912895603</v>
      </c>
      <c r="G331" s="1">
        <f t="shared" si="21"/>
        <v>1.9304025045130402E-9</v>
      </c>
      <c r="H331" s="1">
        <f t="shared" si="22"/>
        <v>91.808109907104395</v>
      </c>
      <c r="I331" s="1">
        <f t="shared" si="23"/>
        <v>91.80810991868681</v>
      </c>
    </row>
    <row r="332" spans="1:9" x14ac:dyDescent="0.5">
      <c r="A332" t="s">
        <v>330</v>
      </c>
      <c r="B332" s="1">
        <v>0.94440000000000002</v>
      </c>
      <c r="C332" s="1">
        <v>0.94440000000000002</v>
      </c>
      <c r="D332" s="1">
        <v>0.94440000000000002</v>
      </c>
      <c r="E332" s="1">
        <v>0.94440000000000002</v>
      </c>
      <c r="F332" s="1">
        <f t="shared" si="20"/>
        <v>0.94440000000000002</v>
      </c>
      <c r="G332" s="1">
        <f t="shared" si="21"/>
        <v>0</v>
      </c>
      <c r="H332" s="1">
        <f t="shared" si="22"/>
        <v>0.94440000000000002</v>
      </c>
      <c r="I332" s="1">
        <f t="shared" si="23"/>
        <v>0.94440000000000002</v>
      </c>
    </row>
    <row r="333" spans="1:9" x14ac:dyDescent="0.5">
      <c r="A333" t="s">
        <v>331</v>
      </c>
      <c r="B333" s="1">
        <v>0.12670630999999999</v>
      </c>
      <c r="C333" s="1">
        <v>0.12670630958594301</v>
      </c>
      <c r="D333" s="1">
        <v>0.12670630958594301</v>
      </c>
      <c r="E333" s="1">
        <v>0.12670630958594301</v>
      </c>
      <c r="F333" s="1">
        <f t="shared" si="20"/>
        <v>0.12670630968945723</v>
      </c>
      <c r="G333" s="1">
        <f t="shared" si="21"/>
        <v>2.0702849157228227E-10</v>
      </c>
      <c r="H333" s="1">
        <f t="shared" si="22"/>
        <v>0.12670630906837177</v>
      </c>
      <c r="I333" s="1">
        <f t="shared" si="23"/>
        <v>0.12670631031054269</v>
      </c>
    </row>
    <row r="334" spans="1:9" x14ac:dyDescent="0.5">
      <c r="A334" t="s">
        <v>332</v>
      </c>
      <c r="B334" s="1">
        <v>2.4792999999999998</v>
      </c>
      <c r="C334" s="1">
        <v>2.4792999999999998</v>
      </c>
      <c r="D334" s="1">
        <v>2.4792999999999998</v>
      </c>
      <c r="E334" s="1">
        <v>2.4792999999999998</v>
      </c>
      <c r="F334" s="1">
        <f t="shared" si="20"/>
        <v>2.4792999999999998</v>
      </c>
      <c r="G334" s="1">
        <f t="shared" si="21"/>
        <v>0</v>
      </c>
      <c r="H334" s="1">
        <f t="shared" si="22"/>
        <v>2.4792999999999998</v>
      </c>
      <c r="I334" s="1">
        <f t="shared" si="23"/>
        <v>2.4792999999999998</v>
      </c>
    </row>
    <row r="335" spans="1:9" x14ac:dyDescent="0.5">
      <c r="A335" t="s">
        <v>333</v>
      </c>
      <c r="B335" s="1">
        <v>12.19104763</v>
      </c>
      <c r="C335" s="1">
        <v>12.1910476265714</v>
      </c>
      <c r="D335" s="1">
        <v>12.1910476265714</v>
      </c>
      <c r="E335" s="1">
        <v>12.1910476265714</v>
      </c>
      <c r="F335" s="1">
        <f t="shared" si="20"/>
        <v>12.191047627428549</v>
      </c>
      <c r="G335" s="1">
        <f t="shared" si="21"/>
        <v>1.7142998132161096E-9</v>
      </c>
      <c r="H335" s="1">
        <f t="shared" si="22"/>
        <v>12.19104762228565</v>
      </c>
      <c r="I335" s="1">
        <f t="shared" si="23"/>
        <v>12.191047632571449</v>
      </c>
    </row>
    <row r="336" spans="1:9" x14ac:dyDescent="0.5">
      <c r="A336" t="s">
        <v>334</v>
      </c>
      <c r="B336" s="1">
        <v>0.94240000000000002</v>
      </c>
      <c r="C336" s="1">
        <v>0.94240000000000002</v>
      </c>
      <c r="D336" s="1">
        <v>0.94240000000000002</v>
      </c>
      <c r="E336" s="1">
        <v>0.94240000000000002</v>
      </c>
      <c r="F336" s="1">
        <f t="shared" si="20"/>
        <v>0.94240000000000002</v>
      </c>
      <c r="G336" s="1">
        <f t="shared" si="21"/>
        <v>0</v>
      </c>
      <c r="H336" s="1">
        <f t="shared" si="22"/>
        <v>0.94240000000000002</v>
      </c>
      <c r="I336" s="1">
        <f t="shared" si="23"/>
        <v>0.94240000000000002</v>
      </c>
    </row>
    <row r="337" spans="1:9" x14ac:dyDescent="0.5">
      <c r="A337" t="s">
        <v>335</v>
      </c>
      <c r="B337" s="1">
        <v>1.4500575E-2</v>
      </c>
      <c r="C337" s="1">
        <v>1.45005747012546E-2</v>
      </c>
      <c r="D337" s="1">
        <v>1.45005747012546E-2</v>
      </c>
      <c r="E337" s="1">
        <v>1.45005747012546E-2</v>
      </c>
      <c r="F337" s="1">
        <f t="shared" si="20"/>
        <v>1.4500574775940949E-2</v>
      </c>
      <c r="G337" s="1">
        <f t="shared" si="21"/>
        <v>1.4937269997294944E-10</v>
      </c>
      <c r="H337" s="1">
        <f t="shared" si="22"/>
        <v>1.4500574327822849E-2</v>
      </c>
      <c r="I337" s="1">
        <f t="shared" si="23"/>
        <v>1.4500575224059049E-2</v>
      </c>
    </row>
    <row r="338" spans="1:9" x14ac:dyDescent="0.5">
      <c r="A338" t="s">
        <v>336</v>
      </c>
      <c r="B338" s="1">
        <v>5.9946278189999997</v>
      </c>
      <c r="C338" s="1">
        <v>5.9946278190184099</v>
      </c>
      <c r="D338" s="1">
        <v>5.9946278190184099</v>
      </c>
      <c r="E338" s="1">
        <v>5.9946278190184099</v>
      </c>
      <c r="F338" s="1">
        <f t="shared" si="20"/>
        <v>5.9946278190138074</v>
      </c>
      <c r="G338" s="1">
        <f t="shared" si="21"/>
        <v>9.2050811417720979E-12</v>
      </c>
      <c r="H338" s="1">
        <f t="shared" si="22"/>
        <v>5.9946278189861921</v>
      </c>
      <c r="I338" s="1">
        <f t="shared" si="23"/>
        <v>5.9946278190414226</v>
      </c>
    </row>
    <row r="339" spans="1:9" x14ac:dyDescent="0.5">
      <c r="A339" t="s">
        <v>337</v>
      </c>
      <c r="B339" s="1">
        <v>0.167025915</v>
      </c>
      <c r="C339" s="1">
        <v>0.167025915142541</v>
      </c>
      <c r="D339" s="1">
        <v>0.167025915142541</v>
      </c>
      <c r="E339" s="1">
        <v>0.167025915142541</v>
      </c>
      <c r="F339" s="1">
        <f t="shared" si="20"/>
        <v>0.16702591510690579</v>
      </c>
      <c r="G339" s="1">
        <f t="shared" si="21"/>
        <v>7.1270503387854833E-11</v>
      </c>
      <c r="H339" s="1">
        <f t="shared" si="22"/>
        <v>0.16702591489309426</v>
      </c>
      <c r="I339" s="1">
        <f t="shared" si="23"/>
        <v>0.16702591532071731</v>
      </c>
    </row>
    <row r="340" spans="1:9" x14ac:dyDescent="0.5">
      <c r="A340" t="s">
        <v>338</v>
      </c>
      <c r="B340" s="1">
        <v>6.3472954970000002</v>
      </c>
      <c r="C340" s="1">
        <v>6.3472954974859803</v>
      </c>
      <c r="D340" s="1">
        <v>6.3472954974859803</v>
      </c>
      <c r="E340" s="1">
        <v>6.3472954974859803</v>
      </c>
      <c r="F340" s="1">
        <f t="shared" si="20"/>
        <v>6.3472954973644855</v>
      </c>
      <c r="G340" s="1">
        <f t="shared" si="21"/>
        <v>2.4299007250774476E-10</v>
      </c>
      <c r="H340" s="1">
        <f t="shared" si="22"/>
        <v>6.3472954966355157</v>
      </c>
      <c r="I340" s="1">
        <f t="shared" si="23"/>
        <v>6.3472954980934553</v>
      </c>
    </row>
    <row r="341" spans="1:9" x14ac:dyDescent="0.5">
      <c r="A341" t="s">
        <v>339</v>
      </c>
      <c r="B341" s="1">
        <v>0.89960877299999997</v>
      </c>
      <c r="C341" s="1">
        <v>0.89960877313780596</v>
      </c>
      <c r="D341" s="1">
        <v>0.89960877313780596</v>
      </c>
      <c r="E341" s="1">
        <v>0.89960877313780596</v>
      </c>
      <c r="F341" s="1">
        <f t="shared" si="20"/>
        <v>0.89960877310335441</v>
      </c>
      <c r="G341" s="1">
        <f t="shared" si="21"/>
        <v>6.890299442122367E-11</v>
      </c>
      <c r="H341" s="1">
        <f t="shared" si="22"/>
        <v>0.89960877289664543</v>
      </c>
      <c r="I341" s="1">
        <f t="shared" si="23"/>
        <v>0.89960877331006339</v>
      </c>
    </row>
    <row r="342" spans="1:9" x14ac:dyDescent="0.5">
      <c r="A342" t="s">
        <v>340</v>
      </c>
      <c r="B342" s="1">
        <v>1752.974749</v>
      </c>
      <c r="C342" s="1">
        <v>1739.7810935974101</v>
      </c>
      <c r="D342" s="1">
        <v>1851.78771018981</v>
      </c>
      <c r="E342" s="1">
        <v>1500.9300231933501</v>
      </c>
      <c r="F342" s="1">
        <f t="shared" si="20"/>
        <v>1711.3683939951427</v>
      </c>
      <c r="G342" s="1">
        <f t="shared" si="21"/>
        <v>148.9298073386359</v>
      </c>
      <c r="H342" s="1">
        <v>0</v>
      </c>
      <c r="I342" s="1">
        <v>100000000</v>
      </c>
    </row>
    <row r="343" spans="1:9" x14ac:dyDescent="0.5">
      <c r="A343" t="s">
        <v>341</v>
      </c>
      <c r="B343" s="1">
        <v>184.41411149999999</v>
      </c>
      <c r="C343" s="1">
        <v>93.036708653564702</v>
      </c>
      <c r="D343" s="1">
        <v>53.861571417580002</v>
      </c>
      <c r="E343" s="1">
        <v>373.82281716072202</v>
      </c>
      <c r="F343" s="1">
        <f t="shared" si="20"/>
        <v>176.28380218296667</v>
      </c>
      <c r="G343" s="1">
        <f t="shared" si="21"/>
        <v>142.60089473146033</v>
      </c>
      <c r="H343" s="1">
        <v>0</v>
      </c>
      <c r="I343" s="1">
        <v>100000000</v>
      </c>
    </row>
    <row r="344" spans="1:9" x14ac:dyDescent="0.5">
      <c r="A344" t="s">
        <v>342</v>
      </c>
      <c r="B344" s="1">
        <v>-0.81181099999999995</v>
      </c>
      <c r="C344" s="1">
        <v>-0.81181099999999995</v>
      </c>
      <c r="D344" s="1">
        <v>-0.81181099999999995</v>
      </c>
      <c r="E344" s="1">
        <v>-0.81181099999999995</v>
      </c>
      <c r="F344" s="1">
        <f t="shared" si="20"/>
        <v>-0.81181099999999995</v>
      </c>
      <c r="G344" s="1">
        <f t="shared" si="21"/>
        <v>0</v>
      </c>
      <c r="H344" s="1">
        <f t="shared" si="22"/>
        <v>-0.81181099999999995</v>
      </c>
      <c r="I344" s="1">
        <f t="shared" si="23"/>
        <v>-0.81181099999999995</v>
      </c>
    </row>
    <row r="345" spans="1:9" x14ac:dyDescent="0.5">
      <c r="A345" t="s">
        <v>343</v>
      </c>
      <c r="B345" s="1">
        <v>1.231537584</v>
      </c>
      <c r="C345" s="1">
        <v>1.2315375837676299</v>
      </c>
      <c r="D345" s="1">
        <v>1.2315375837676299</v>
      </c>
      <c r="E345" s="1">
        <v>1.2315375837676299</v>
      </c>
      <c r="F345" s="1">
        <f t="shared" si="20"/>
        <v>1.2315375838257225</v>
      </c>
      <c r="G345" s="1">
        <f t="shared" si="21"/>
        <v>1.1618506157169828E-10</v>
      </c>
      <c r="H345" s="1">
        <f t="shared" si="22"/>
        <v>1.2315375834771674</v>
      </c>
      <c r="I345" s="1">
        <f t="shared" si="23"/>
        <v>1.2315375841742777</v>
      </c>
    </row>
    <row r="346" spans="1:9" x14ac:dyDescent="0.5">
      <c r="A346" t="s">
        <v>344</v>
      </c>
      <c r="B346" s="1">
        <v>52.583599999999997</v>
      </c>
      <c r="C346" s="1">
        <v>52.583599999999898</v>
      </c>
      <c r="D346" s="1">
        <v>52.583599999999898</v>
      </c>
      <c r="E346" s="1">
        <v>52.583599999999898</v>
      </c>
      <c r="F346" s="1">
        <f t="shared" si="20"/>
        <v>52.583599999999926</v>
      </c>
      <c r="G346" s="1">
        <f t="shared" si="21"/>
        <v>4.9906881603821014E-14</v>
      </c>
      <c r="H346" s="1">
        <f t="shared" si="22"/>
        <v>52.583599999999777</v>
      </c>
      <c r="I346" s="1">
        <f t="shared" si="23"/>
        <v>52.583600000000075</v>
      </c>
    </row>
    <row r="347" spans="1:9" x14ac:dyDescent="0.5">
      <c r="A347" t="s">
        <v>345</v>
      </c>
      <c r="B347" s="1">
        <v>1.1986246009999999</v>
      </c>
      <c r="C347" s="1">
        <v>1.1986246006708401</v>
      </c>
      <c r="D347" s="1">
        <v>1.1986246006708401</v>
      </c>
      <c r="E347" s="1">
        <v>1.1986246006708401</v>
      </c>
      <c r="F347" s="1">
        <f t="shared" si="20"/>
        <v>1.19862460075313</v>
      </c>
      <c r="G347" s="1">
        <f t="shared" si="21"/>
        <v>1.6457990525964306E-10</v>
      </c>
      <c r="H347" s="1">
        <f t="shared" si="22"/>
        <v>1.1986246002593903</v>
      </c>
      <c r="I347" s="1">
        <f t="shared" si="23"/>
        <v>1.1986246012468698</v>
      </c>
    </row>
    <row r="348" spans="1:9" x14ac:dyDescent="0.5">
      <c r="A348" t="s">
        <v>346</v>
      </c>
      <c r="B348" s="1">
        <v>90.686999999999998</v>
      </c>
      <c r="C348" s="1">
        <v>90.686999999999998</v>
      </c>
      <c r="D348" s="1">
        <v>90.686999999999998</v>
      </c>
      <c r="E348" s="1">
        <v>90.686999999999998</v>
      </c>
      <c r="F348" s="1">
        <f t="shared" si="20"/>
        <v>90.686999999999998</v>
      </c>
      <c r="G348" s="1">
        <f t="shared" si="21"/>
        <v>0</v>
      </c>
      <c r="H348" s="1">
        <f t="shared" si="22"/>
        <v>90.686999999999998</v>
      </c>
      <c r="I348" s="1">
        <f t="shared" si="23"/>
        <v>90.686999999999998</v>
      </c>
    </row>
    <row r="349" spans="1:9" x14ac:dyDescent="0.5">
      <c r="A349" t="s">
        <v>347</v>
      </c>
      <c r="B349" s="1">
        <v>1.1768387979999999</v>
      </c>
      <c r="C349" s="1">
        <v>1.1768387976080401</v>
      </c>
      <c r="D349" s="1">
        <v>1.1768387976080401</v>
      </c>
      <c r="E349" s="1">
        <v>1.1768387976080401</v>
      </c>
      <c r="F349" s="1">
        <f t="shared" si="20"/>
        <v>1.1768387977060302</v>
      </c>
      <c r="G349" s="1">
        <f t="shared" si="21"/>
        <v>1.9597989897594844E-10</v>
      </c>
      <c r="H349" s="1">
        <f t="shared" si="22"/>
        <v>1.1768387971180905</v>
      </c>
      <c r="I349" s="1">
        <f t="shared" si="23"/>
        <v>1.1768387982939699</v>
      </c>
    </row>
    <row r="350" spans="1:9" x14ac:dyDescent="0.5">
      <c r="A350" t="s">
        <v>348</v>
      </c>
      <c r="B350" s="1">
        <v>116.9692</v>
      </c>
      <c r="C350" s="1">
        <v>116.9692</v>
      </c>
      <c r="D350" s="1">
        <v>116.9692</v>
      </c>
      <c r="E350" s="1">
        <v>116.9692</v>
      </c>
      <c r="F350" s="1">
        <f t="shared" si="20"/>
        <v>116.9692</v>
      </c>
      <c r="G350" s="1">
        <f t="shared" si="21"/>
        <v>0</v>
      </c>
      <c r="H350" s="1">
        <f t="shared" si="22"/>
        <v>116.9692</v>
      </c>
      <c r="I350" s="1">
        <f t="shared" si="23"/>
        <v>116.9692</v>
      </c>
    </row>
    <row r="351" spans="1:9" x14ac:dyDescent="0.5">
      <c r="A351" t="s">
        <v>349</v>
      </c>
      <c r="B351" s="1">
        <v>10.19018591</v>
      </c>
      <c r="C351" s="1">
        <v>10.1901859082376</v>
      </c>
      <c r="D351" s="1">
        <v>10.1901859082376</v>
      </c>
      <c r="E351" s="1">
        <v>10.1901859082376</v>
      </c>
      <c r="F351" s="1">
        <f t="shared" si="20"/>
        <v>10.190185908678201</v>
      </c>
      <c r="G351" s="1">
        <f t="shared" si="21"/>
        <v>8.8120000185669055E-10</v>
      </c>
      <c r="H351" s="1">
        <f t="shared" si="22"/>
        <v>10.1901859060346</v>
      </c>
      <c r="I351" s="1">
        <f t="shared" si="23"/>
        <v>10.190185911321802</v>
      </c>
    </row>
    <row r="352" spans="1:9" x14ac:dyDescent="0.5">
      <c r="A352" t="s">
        <v>350</v>
      </c>
      <c r="B352" s="1">
        <v>1.8355999999999999</v>
      </c>
      <c r="C352" s="1">
        <v>1.8355999999999999</v>
      </c>
      <c r="D352" s="1">
        <v>1.8355999999999999</v>
      </c>
      <c r="E352" s="1">
        <v>1.8355999999999999</v>
      </c>
      <c r="F352" s="1">
        <f t="shared" si="20"/>
        <v>1.8355999999999999</v>
      </c>
      <c r="G352" s="1">
        <f t="shared" si="21"/>
        <v>0</v>
      </c>
      <c r="H352" s="1">
        <f t="shared" si="22"/>
        <v>1.8355999999999999</v>
      </c>
      <c r="I352" s="1">
        <f t="shared" si="23"/>
        <v>1.8355999999999999</v>
      </c>
    </row>
    <row r="353" spans="1:9" x14ac:dyDescent="0.5">
      <c r="A353" t="s">
        <v>351</v>
      </c>
      <c r="B353" s="1">
        <v>2.6833644E-2</v>
      </c>
      <c r="C353" s="1">
        <v>2.6833643890542401E-2</v>
      </c>
      <c r="D353" s="1">
        <v>2.6833643890542401E-2</v>
      </c>
      <c r="E353" s="1">
        <v>2.6833643890542401E-2</v>
      </c>
      <c r="F353" s="1">
        <f t="shared" si="20"/>
        <v>2.6833643917906803E-2</v>
      </c>
      <c r="G353" s="1">
        <f t="shared" si="21"/>
        <v>5.4728799617209751E-11</v>
      </c>
      <c r="H353" s="1">
        <f t="shared" si="22"/>
        <v>2.6833643753720403E-2</v>
      </c>
      <c r="I353" s="1">
        <f t="shared" si="23"/>
        <v>2.6833644082093204E-2</v>
      </c>
    </row>
    <row r="354" spans="1:9" x14ac:dyDescent="0.5">
      <c r="A354" t="s">
        <v>352</v>
      </c>
      <c r="B354" s="1">
        <v>-138.00319999999999</v>
      </c>
      <c r="C354" s="1">
        <v>-138.00319999999999</v>
      </c>
      <c r="D354" s="1">
        <v>-138.00319999999999</v>
      </c>
      <c r="E354" s="1">
        <v>-138.00319999999999</v>
      </c>
      <c r="F354" s="1">
        <f t="shared" si="20"/>
        <v>-138.00319999999999</v>
      </c>
      <c r="G354" s="1">
        <f t="shared" si="21"/>
        <v>0</v>
      </c>
      <c r="H354" s="1">
        <f t="shared" si="22"/>
        <v>-138.00319999999999</v>
      </c>
      <c r="I354" s="1">
        <f t="shared" si="23"/>
        <v>-138.00319999999999</v>
      </c>
    </row>
    <row r="355" spans="1:9" x14ac:dyDescent="0.5">
      <c r="A355" t="s">
        <v>353</v>
      </c>
      <c r="B355" s="1">
        <v>1.8448251229999999</v>
      </c>
      <c r="C355" s="1">
        <v>1.84482512269681</v>
      </c>
      <c r="D355" s="1">
        <v>1.84482512269681</v>
      </c>
      <c r="E355" s="1">
        <v>1.84482512269681</v>
      </c>
      <c r="F355" s="1">
        <f t="shared" si="20"/>
        <v>1.8448251227726076</v>
      </c>
      <c r="G355" s="1">
        <f t="shared" si="21"/>
        <v>1.5159495880828636E-10</v>
      </c>
      <c r="H355" s="1">
        <f t="shared" si="22"/>
        <v>1.8448251223178227</v>
      </c>
      <c r="I355" s="1">
        <f t="shared" si="23"/>
        <v>1.8448251232273924</v>
      </c>
    </row>
    <row r="356" spans="1:9" x14ac:dyDescent="0.5">
      <c r="A356" t="s">
        <v>354</v>
      </c>
      <c r="B356" s="1">
        <v>0.8569</v>
      </c>
      <c r="C356" s="1">
        <v>0.856899999999999</v>
      </c>
      <c r="D356" s="1">
        <v>0.856899999999999</v>
      </c>
      <c r="E356" s="1">
        <v>0.856899999999999</v>
      </c>
      <c r="F356" s="1">
        <f t="shared" si="20"/>
        <v>0.85689999999999933</v>
      </c>
      <c r="G356" s="1">
        <f t="shared" si="21"/>
        <v>5.0876810486276012E-16</v>
      </c>
      <c r="H356" s="1">
        <f t="shared" si="22"/>
        <v>0.85689999999999777</v>
      </c>
      <c r="I356" s="1">
        <f t="shared" si="23"/>
        <v>0.85690000000000088</v>
      </c>
    </row>
    <row r="357" spans="1:9" x14ac:dyDescent="0.5">
      <c r="A357" t="s">
        <v>355</v>
      </c>
      <c r="B357" s="1">
        <v>2.233582E-3</v>
      </c>
      <c r="C357" s="1">
        <v>2.2335820757000998E-3</v>
      </c>
      <c r="D357" s="1">
        <v>2.2335820757000998E-3</v>
      </c>
      <c r="E357" s="1">
        <v>2.2335820757000998E-3</v>
      </c>
      <c r="F357" s="1">
        <f t="shared" si="20"/>
        <v>2.2335820567750751E-3</v>
      </c>
      <c r="G357" s="1">
        <f t="shared" si="21"/>
        <v>3.7850049917215189E-11</v>
      </c>
      <c r="H357" s="1">
        <f t="shared" si="22"/>
        <v>2.2335819432249254E-3</v>
      </c>
      <c r="I357" s="1">
        <f t="shared" si="23"/>
        <v>2.2335821703252249E-3</v>
      </c>
    </row>
    <row r="358" spans="1:9" x14ac:dyDescent="0.5">
      <c r="A358" t="s">
        <v>356</v>
      </c>
      <c r="B358" s="1">
        <v>-0.81837300000000002</v>
      </c>
      <c r="C358" s="1">
        <v>-0.81837300000000102</v>
      </c>
      <c r="D358" s="1">
        <v>-0.81837300000000102</v>
      </c>
      <c r="E358" s="1">
        <v>-0.81837300000000102</v>
      </c>
      <c r="F358" s="1">
        <f t="shared" si="20"/>
        <v>-0.81837300000000079</v>
      </c>
      <c r="G358" s="1">
        <f t="shared" si="21"/>
        <v>5.0062728993692732E-16</v>
      </c>
      <c r="H358" s="1">
        <f t="shared" si="22"/>
        <v>-0.81837300000000235</v>
      </c>
      <c r="I358" s="1">
        <f t="shared" si="23"/>
        <v>-0.81837299999999924</v>
      </c>
    </row>
    <row r="359" spans="1:9" x14ac:dyDescent="0.5">
      <c r="A359" t="s">
        <v>357</v>
      </c>
      <c r="B359" s="1">
        <v>37.530149770000001</v>
      </c>
      <c r="C359" s="1">
        <v>37.530149769262401</v>
      </c>
      <c r="D359" s="1">
        <v>37.530149769262401</v>
      </c>
      <c r="E359" s="1">
        <v>37.530149769262401</v>
      </c>
      <c r="F359" s="1">
        <f t="shared" si="20"/>
        <v>37.530149769446801</v>
      </c>
      <c r="G359" s="1">
        <f t="shared" si="21"/>
        <v>3.688001015689224E-10</v>
      </c>
      <c r="H359" s="1">
        <f t="shared" si="22"/>
        <v>37.530149768340401</v>
      </c>
      <c r="I359" s="1">
        <f t="shared" si="23"/>
        <v>37.530149770553201</v>
      </c>
    </row>
    <row r="360" spans="1:9" x14ac:dyDescent="0.5">
      <c r="A360" t="s">
        <v>358</v>
      </c>
      <c r="B360" s="1">
        <v>121.3785</v>
      </c>
      <c r="C360" s="1">
        <v>121.3785</v>
      </c>
      <c r="D360" s="1">
        <v>121.3785</v>
      </c>
      <c r="E360" s="1">
        <v>121.3785</v>
      </c>
      <c r="F360" s="1">
        <f t="shared" si="20"/>
        <v>121.3785</v>
      </c>
      <c r="G360" s="1">
        <f t="shared" si="21"/>
        <v>0</v>
      </c>
      <c r="H360" s="1">
        <f t="shared" si="22"/>
        <v>121.3785</v>
      </c>
      <c r="I360" s="1">
        <f t="shared" si="23"/>
        <v>121.3785</v>
      </c>
    </row>
    <row r="361" spans="1:9" x14ac:dyDescent="0.5">
      <c r="A361" t="s">
        <v>359</v>
      </c>
      <c r="B361" s="1">
        <v>13.41398468</v>
      </c>
      <c r="C361" s="1">
        <v>13.413984678105299</v>
      </c>
      <c r="D361" s="1">
        <v>13.413984678105299</v>
      </c>
      <c r="E361" s="1">
        <v>13.413984678105299</v>
      </c>
      <c r="F361" s="1">
        <f t="shared" si="20"/>
        <v>13.413984678578975</v>
      </c>
      <c r="G361" s="1">
        <f t="shared" si="21"/>
        <v>9.4735064237794201E-10</v>
      </c>
      <c r="H361" s="1">
        <f t="shared" si="22"/>
        <v>13.413984675736923</v>
      </c>
      <c r="I361" s="1">
        <f t="shared" si="23"/>
        <v>13.413984681421027</v>
      </c>
    </row>
    <row r="362" spans="1:9" x14ac:dyDescent="0.5">
      <c r="A362" t="s">
        <v>360</v>
      </c>
      <c r="B362" s="1">
        <v>156.8066</v>
      </c>
      <c r="C362" s="1">
        <v>156.8066</v>
      </c>
      <c r="D362" s="1">
        <v>156.8066</v>
      </c>
      <c r="E362" s="1">
        <v>156.8066</v>
      </c>
      <c r="F362" s="1">
        <f t="shared" si="20"/>
        <v>156.8066</v>
      </c>
      <c r="G362" s="1">
        <f t="shared" si="21"/>
        <v>0</v>
      </c>
      <c r="H362" s="1">
        <f t="shared" si="22"/>
        <v>156.8066</v>
      </c>
      <c r="I362" s="1">
        <f t="shared" si="23"/>
        <v>156.8066</v>
      </c>
    </row>
    <row r="363" spans="1:9" x14ac:dyDescent="0.5">
      <c r="A363" t="s">
        <v>361</v>
      </c>
      <c r="B363" s="1">
        <v>14.03325899</v>
      </c>
      <c r="C363" s="1">
        <v>14.0332589879265</v>
      </c>
      <c r="D363" s="1">
        <v>14.0332589879265</v>
      </c>
      <c r="E363" s="1">
        <v>14.0332589879265</v>
      </c>
      <c r="F363" s="1">
        <f t="shared" si="20"/>
        <v>14.033258988444876</v>
      </c>
      <c r="G363" s="1">
        <f t="shared" si="21"/>
        <v>1.0367502412134444E-9</v>
      </c>
      <c r="H363" s="1">
        <f t="shared" si="22"/>
        <v>14.033258985334626</v>
      </c>
      <c r="I363" s="1">
        <f t="shared" si="23"/>
        <v>14.033258991555126</v>
      </c>
    </row>
    <row r="364" spans="1:9" x14ac:dyDescent="0.5">
      <c r="A364" t="s">
        <v>362</v>
      </c>
      <c r="B364" s="1">
        <v>275.05</v>
      </c>
      <c r="C364" s="1">
        <v>275.05</v>
      </c>
      <c r="D364" s="1">
        <v>275.05</v>
      </c>
      <c r="E364" s="1">
        <v>275.05</v>
      </c>
      <c r="F364" s="1">
        <f t="shared" si="20"/>
        <v>275.05</v>
      </c>
      <c r="G364" s="1">
        <f t="shared" si="21"/>
        <v>0</v>
      </c>
      <c r="H364" s="1">
        <f t="shared" si="22"/>
        <v>275.05</v>
      </c>
      <c r="I364" s="1">
        <f t="shared" si="23"/>
        <v>275.05</v>
      </c>
    </row>
    <row r="365" spans="1:9" x14ac:dyDescent="0.5">
      <c r="A365" t="s">
        <v>363</v>
      </c>
      <c r="B365" s="1">
        <v>216.5778645</v>
      </c>
      <c r="C365" s="1">
        <v>216.577864519386</v>
      </c>
      <c r="D365" s="1">
        <v>216.577864519386</v>
      </c>
      <c r="E365" s="1">
        <v>216.577864519386</v>
      </c>
      <c r="F365" s="1">
        <f t="shared" si="20"/>
        <v>216.5778645145395</v>
      </c>
      <c r="G365" s="1">
        <f t="shared" si="21"/>
        <v>9.6929966275638435E-9</v>
      </c>
      <c r="H365" s="1">
        <f t="shared" si="22"/>
        <v>216.57786448546051</v>
      </c>
      <c r="I365" s="1">
        <f t="shared" si="23"/>
        <v>216.57786454361849</v>
      </c>
    </row>
    <row r="366" spans="1:9" x14ac:dyDescent="0.5">
      <c r="A366" t="s">
        <v>364</v>
      </c>
      <c r="B366" s="1">
        <v>4.2422000000000004</v>
      </c>
      <c r="C366" s="1">
        <v>4.2421999999999898</v>
      </c>
      <c r="D366" s="1">
        <v>4.2421999999999898</v>
      </c>
      <c r="E366" s="1">
        <v>4.2421999999999898</v>
      </c>
      <c r="F366" s="1">
        <f t="shared" si="20"/>
        <v>4.2421999999999924</v>
      </c>
      <c r="G366" s="1">
        <f t="shared" si="21"/>
        <v>5.3290705182007514E-15</v>
      </c>
      <c r="H366" s="1">
        <f t="shared" si="22"/>
        <v>4.2421999999999764</v>
      </c>
      <c r="I366" s="1">
        <f t="shared" si="23"/>
        <v>4.2422000000000084</v>
      </c>
    </row>
    <row r="367" spans="1:9" x14ac:dyDescent="0.5">
      <c r="A367" t="s">
        <v>365</v>
      </c>
      <c r="B367" s="1">
        <v>0.50955444599999999</v>
      </c>
      <c r="C367" s="1">
        <v>0.50955444589693499</v>
      </c>
      <c r="D367" s="1">
        <v>0.50955444589693499</v>
      </c>
      <c r="E367" s="1">
        <v>0.50955444589693499</v>
      </c>
      <c r="F367" s="1">
        <f t="shared" si="20"/>
        <v>0.50955444592270127</v>
      </c>
      <c r="G367" s="1">
        <f t="shared" si="21"/>
        <v>5.153250048906985E-11</v>
      </c>
      <c r="H367" s="1">
        <f t="shared" si="22"/>
        <v>0.50955444576810383</v>
      </c>
      <c r="I367" s="1">
        <f t="shared" si="23"/>
        <v>0.50955444607729872</v>
      </c>
    </row>
    <row r="368" spans="1:9" x14ac:dyDescent="0.5">
      <c r="A368" t="s">
        <v>366</v>
      </c>
      <c r="B368" s="1">
        <v>-314.83969999999999</v>
      </c>
      <c r="C368" s="1">
        <v>-314.83969999999999</v>
      </c>
      <c r="D368" s="1">
        <v>-314.83969999999999</v>
      </c>
      <c r="E368" s="1">
        <v>-314.83969999999999</v>
      </c>
      <c r="F368" s="1">
        <f t="shared" si="20"/>
        <v>-314.83969999999999</v>
      </c>
      <c r="G368" s="1">
        <f t="shared" si="21"/>
        <v>0</v>
      </c>
      <c r="H368" s="1">
        <f t="shared" si="22"/>
        <v>-314.83969999999999</v>
      </c>
      <c r="I368" s="1">
        <f t="shared" si="23"/>
        <v>-314.83969999999999</v>
      </c>
    </row>
    <row r="369" spans="1:9" x14ac:dyDescent="0.5">
      <c r="A369" t="s">
        <v>367</v>
      </c>
      <c r="B369" s="1">
        <v>22.765039909999999</v>
      </c>
      <c r="C369" s="1">
        <v>22.765039912842902</v>
      </c>
      <c r="D369" s="1">
        <v>22.765039912842902</v>
      </c>
      <c r="E369" s="1">
        <v>22.765039912842902</v>
      </c>
      <c r="F369" s="1">
        <f t="shared" si="20"/>
        <v>22.765039912132174</v>
      </c>
      <c r="G369" s="1">
        <f t="shared" si="21"/>
        <v>1.4214514010305969E-9</v>
      </c>
      <c r="H369" s="1">
        <f t="shared" si="22"/>
        <v>22.76503990786782</v>
      </c>
      <c r="I369" s="1">
        <f t="shared" si="23"/>
        <v>22.765039916396528</v>
      </c>
    </row>
    <row r="370" spans="1:9" x14ac:dyDescent="0.5">
      <c r="A370" t="s">
        <v>368</v>
      </c>
      <c r="B370" s="1">
        <v>0</v>
      </c>
      <c r="C370" s="1">
        <v>0</v>
      </c>
      <c r="D370" s="1">
        <v>0</v>
      </c>
      <c r="E370" s="1">
        <v>0</v>
      </c>
      <c r="F370" s="1">
        <f t="shared" si="20"/>
        <v>0</v>
      </c>
      <c r="G370" s="1">
        <f t="shared" si="21"/>
        <v>0</v>
      </c>
      <c r="H370" s="1">
        <f t="shared" si="22"/>
        <v>0</v>
      </c>
      <c r="I370" s="1">
        <f t="shared" si="23"/>
        <v>0</v>
      </c>
    </row>
    <row r="371" spans="1:9" x14ac:dyDescent="0.5">
      <c r="A371" t="s">
        <v>369</v>
      </c>
      <c r="B371" s="1">
        <v>0</v>
      </c>
      <c r="C371" s="1">
        <v>0</v>
      </c>
      <c r="D371" s="1">
        <v>0</v>
      </c>
      <c r="E371" s="1">
        <v>0</v>
      </c>
      <c r="F371" s="1">
        <f t="shared" si="20"/>
        <v>0</v>
      </c>
      <c r="G371" s="1">
        <f t="shared" si="21"/>
        <v>0</v>
      </c>
      <c r="H371" s="1">
        <f t="shared" si="22"/>
        <v>0</v>
      </c>
      <c r="I371" s="1">
        <f t="shared" si="23"/>
        <v>0</v>
      </c>
    </row>
    <row r="372" spans="1:9" x14ac:dyDescent="0.5">
      <c r="A372" t="s">
        <v>370</v>
      </c>
      <c r="B372" s="1">
        <v>15.604964020000001</v>
      </c>
      <c r="C372" s="1">
        <v>15.604964019120899</v>
      </c>
      <c r="D372" s="1">
        <v>15.604964019120899</v>
      </c>
      <c r="E372" s="1">
        <v>15.604964019120899</v>
      </c>
      <c r="F372" s="1">
        <f t="shared" si="20"/>
        <v>15.604964019340674</v>
      </c>
      <c r="G372" s="1">
        <f t="shared" si="21"/>
        <v>4.3955061812659144E-10</v>
      </c>
      <c r="H372" s="1">
        <f t="shared" si="22"/>
        <v>15.604964018022022</v>
      </c>
      <c r="I372" s="1">
        <f t="shared" si="23"/>
        <v>15.604964020659326</v>
      </c>
    </row>
    <row r="373" spans="1:9" x14ac:dyDescent="0.5">
      <c r="A373" t="s">
        <v>371</v>
      </c>
      <c r="B373" s="1">
        <v>0.20250451699999999</v>
      </c>
      <c r="C373" s="1">
        <v>0.202504516556719</v>
      </c>
      <c r="D373" s="1">
        <v>0.202504516556719</v>
      </c>
      <c r="E373" s="1">
        <v>0.202504516556719</v>
      </c>
      <c r="F373" s="1">
        <f t="shared" si="20"/>
        <v>0.20250451666753924</v>
      </c>
      <c r="G373" s="1">
        <f t="shared" si="21"/>
        <v>2.2164049762185571E-10</v>
      </c>
      <c r="H373" s="1">
        <f t="shared" si="22"/>
        <v>0.20250451600261776</v>
      </c>
      <c r="I373" s="1">
        <f t="shared" si="23"/>
        <v>0.20250451733246072</v>
      </c>
    </row>
    <row r="374" spans="1:9" x14ac:dyDescent="0.5">
      <c r="A374" t="s">
        <v>372</v>
      </c>
      <c r="B374" s="1">
        <v>26.982493089999998</v>
      </c>
      <c r="C374" s="1">
        <v>26.982493091189401</v>
      </c>
      <c r="D374" s="1">
        <v>26.982493091189401</v>
      </c>
      <c r="E374" s="1">
        <v>26.982493091189401</v>
      </c>
      <c r="F374" s="1">
        <f t="shared" si="20"/>
        <v>26.982493090892049</v>
      </c>
      <c r="G374" s="1">
        <f t="shared" si="21"/>
        <v>5.9470117719317601E-10</v>
      </c>
      <c r="H374" s="1">
        <f t="shared" si="22"/>
        <v>26.982493089107948</v>
      </c>
      <c r="I374" s="1">
        <f t="shared" si="23"/>
        <v>26.982493092676151</v>
      </c>
    </row>
    <row r="375" spans="1:9" x14ac:dyDescent="0.5">
      <c r="A375" t="s">
        <v>373</v>
      </c>
      <c r="B375" s="1">
        <v>2.4147728069999999</v>
      </c>
      <c r="C375" s="1">
        <v>2.4147728073218899</v>
      </c>
      <c r="D375" s="1">
        <v>2.4147728073218899</v>
      </c>
      <c r="E375" s="1">
        <v>2.4147728073218899</v>
      </c>
      <c r="F375" s="1">
        <f t="shared" si="20"/>
        <v>2.4147728072414174</v>
      </c>
      <c r="G375" s="1">
        <f t="shared" si="21"/>
        <v>1.6094503507702029E-10</v>
      </c>
      <c r="H375" s="1">
        <f t="shared" si="22"/>
        <v>2.4147728067585823</v>
      </c>
      <c r="I375" s="1">
        <f t="shared" si="23"/>
        <v>2.4147728077242525</v>
      </c>
    </row>
    <row r="376" spans="1:9" x14ac:dyDescent="0.5">
      <c r="A376" t="s">
        <v>374</v>
      </c>
      <c r="B376" s="1">
        <v>2981.4892770000001</v>
      </c>
      <c r="C376" s="1">
        <v>870.86112499237004</v>
      </c>
      <c r="D376" s="1">
        <v>2315.5625104904102</v>
      </c>
      <c r="E376" s="1">
        <v>2740.62411785125</v>
      </c>
      <c r="F376" s="1">
        <f t="shared" si="20"/>
        <v>2227.1342575835079</v>
      </c>
      <c r="G376" s="1">
        <f t="shared" si="21"/>
        <v>945.16659872168941</v>
      </c>
      <c r="H376" s="1">
        <v>0</v>
      </c>
      <c r="I376" s="1">
        <v>100000000</v>
      </c>
    </row>
    <row r="377" spans="1:9" x14ac:dyDescent="0.5">
      <c r="A377" t="s">
        <v>375</v>
      </c>
      <c r="B377" s="1">
        <v>138.48667689999999</v>
      </c>
      <c r="C377" s="1">
        <v>146.03957314915101</v>
      </c>
      <c r="D377" s="1">
        <v>404.86580822285202</v>
      </c>
      <c r="E377" s="1">
        <v>400.86701354112103</v>
      </c>
      <c r="F377" s="1">
        <f t="shared" si="20"/>
        <v>272.56476795328103</v>
      </c>
      <c r="G377" s="1">
        <f t="shared" si="21"/>
        <v>150.49982380942953</v>
      </c>
      <c r="H377" s="1">
        <v>0</v>
      </c>
      <c r="I377" s="1">
        <v>100000000</v>
      </c>
    </row>
    <row r="378" spans="1:9" x14ac:dyDescent="0.5">
      <c r="A378" t="s">
        <v>376</v>
      </c>
      <c r="B378" s="1">
        <v>630.41062899999997</v>
      </c>
      <c r="C378" s="1">
        <v>630.41063799999995</v>
      </c>
      <c r="D378" s="1">
        <v>630.41062999999997</v>
      </c>
      <c r="E378" s="1">
        <v>630.41062899999997</v>
      </c>
      <c r="F378" s="1">
        <f t="shared" si="20"/>
        <v>630.41063149999991</v>
      </c>
      <c r="G378" s="1">
        <f t="shared" si="21"/>
        <v>4.3588989325355118E-6</v>
      </c>
      <c r="H378" s="1">
        <f t="shared" si="22"/>
        <v>630.41061842330316</v>
      </c>
      <c r="I378" s="1">
        <f t="shared" si="23"/>
        <v>630.41064457669665</v>
      </c>
    </row>
    <row r="379" spans="1:9" x14ac:dyDescent="0.5">
      <c r="A379" t="s">
        <v>377</v>
      </c>
      <c r="B379" s="1">
        <v>3.9918537770000002</v>
      </c>
      <c r="C379" s="1">
        <v>3.9918536038976802</v>
      </c>
      <c r="D379" s="1">
        <v>3.9918530723879702</v>
      </c>
      <c r="E379" s="1">
        <v>3.9918537774501801</v>
      </c>
      <c r="F379" s="1">
        <f t="shared" si="20"/>
        <v>3.9918535576839576</v>
      </c>
      <c r="G379" s="1">
        <f t="shared" si="21"/>
        <v>3.3368878848654903E-7</v>
      </c>
      <c r="H379" s="1">
        <f t="shared" si="22"/>
        <v>3.9918525566175922</v>
      </c>
      <c r="I379" s="1">
        <f t="shared" si="23"/>
        <v>3.9918545587503229</v>
      </c>
    </row>
    <row r="380" spans="1:9" x14ac:dyDescent="0.5">
      <c r="A380" t="s">
        <v>378</v>
      </c>
      <c r="B380" s="1">
        <v>630.41079999999999</v>
      </c>
      <c r="C380" s="1">
        <v>630.41079999999999</v>
      </c>
      <c r="D380" s="1">
        <v>630.41079999999999</v>
      </c>
      <c r="E380" s="1">
        <v>630.41079999999999</v>
      </c>
      <c r="F380" s="1">
        <f t="shared" si="20"/>
        <v>630.41079999999999</v>
      </c>
      <c r="G380" s="1">
        <f t="shared" si="21"/>
        <v>0</v>
      </c>
      <c r="H380" s="1">
        <f t="shared" si="22"/>
        <v>630.41079999999999</v>
      </c>
      <c r="I380" s="1">
        <f t="shared" si="23"/>
        <v>630.41079999999999</v>
      </c>
    </row>
    <row r="381" spans="1:9" x14ac:dyDescent="0.5">
      <c r="A381" t="s">
        <v>379</v>
      </c>
      <c r="B381" s="1">
        <v>3.9919391219999998</v>
      </c>
      <c r="C381" s="1">
        <v>3.99193912222563</v>
      </c>
      <c r="D381" s="1">
        <v>3.99193912222563</v>
      </c>
      <c r="E381" s="1">
        <v>3.99193912222563</v>
      </c>
      <c r="F381" s="1">
        <f t="shared" si="20"/>
        <v>3.9919391221692226</v>
      </c>
      <c r="G381" s="1">
        <f t="shared" si="21"/>
        <v>1.1281509060297172E-10</v>
      </c>
      <c r="H381" s="1">
        <f t="shared" si="22"/>
        <v>3.9919391218307774</v>
      </c>
      <c r="I381" s="1">
        <f t="shared" si="23"/>
        <v>3.9919391225076679</v>
      </c>
    </row>
    <row r="382" spans="1:9" x14ac:dyDescent="0.5">
      <c r="A382" t="s">
        <v>380</v>
      </c>
      <c r="B382" s="1">
        <v>649.67719999999997</v>
      </c>
      <c r="C382" s="1">
        <v>649.67719999999997</v>
      </c>
      <c r="D382" s="1">
        <v>649.67719999999997</v>
      </c>
      <c r="E382" s="1">
        <v>649.67719999999997</v>
      </c>
      <c r="F382" s="1">
        <f t="shared" si="20"/>
        <v>649.67719999999997</v>
      </c>
      <c r="G382" s="1">
        <f t="shared" si="21"/>
        <v>0</v>
      </c>
      <c r="H382" s="1">
        <f t="shared" si="22"/>
        <v>649.67719999999997</v>
      </c>
      <c r="I382" s="1">
        <f t="shared" si="23"/>
        <v>649.67719999999997</v>
      </c>
    </row>
    <row r="383" spans="1:9" x14ac:dyDescent="0.5">
      <c r="A383" t="s">
        <v>381</v>
      </c>
      <c r="B383" s="1">
        <v>3.9924873280000002</v>
      </c>
      <c r="C383" s="1">
        <v>3.9924873283038398</v>
      </c>
      <c r="D383" s="1">
        <v>3.9924873283038398</v>
      </c>
      <c r="E383" s="1">
        <v>3.9924873283038398</v>
      </c>
      <c r="F383" s="1">
        <f t="shared" si="20"/>
        <v>3.9924873282278797</v>
      </c>
      <c r="G383" s="1">
        <f t="shared" si="21"/>
        <v>1.5191981006545383E-10</v>
      </c>
      <c r="H383" s="1">
        <f t="shared" si="22"/>
        <v>3.9924873277721202</v>
      </c>
      <c r="I383" s="1">
        <f t="shared" si="23"/>
        <v>3.9924873286836391</v>
      </c>
    </row>
    <row r="384" spans="1:9" x14ac:dyDescent="0.5">
      <c r="A384" t="s">
        <v>382</v>
      </c>
      <c r="B384" s="1">
        <v>1358.6787999999999</v>
      </c>
      <c r="C384" s="1">
        <v>1358.6787999999999</v>
      </c>
      <c r="D384" s="1">
        <v>1358.6787999999999</v>
      </c>
      <c r="E384" s="1">
        <v>1358.6787999999999</v>
      </c>
      <c r="F384" s="1">
        <f t="shared" si="20"/>
        <v>1358.6787999999999</v>
      </c>
      <c r="G384" s="1">
        <f t="shared" si="21"/>
        <v>0</v>
      </c>
      <c r="H384" s="1">
        <f t="shared" si="22"/>
        <v>1358.6787999999999</v>
      </c>
      <c r="I384" s="1">
        <f t="shared" si="23"/>
        <v>1358.6787999999999</v>
      </c>
    </row>
    <row r="385" spans="1:9" x14ac:dyDescent="0.5">
      <c r="A385" t="s">
        <v>383</v>
      </c>
      <c r="B385" s="1">
        <v>107.2604216</v>
      </c>
      <c r="C385" s="1">
        <v>107.260421627613</v>
      </c>
      <c r="D385" s="1">
        <v>107.260421627613</v>
      </c>
      <c r="E385" s="1">
        <v>107.260421627613</v>
      </c>
      <c r="F385" s="1">
        <f t="shared" si="20"/>
        <v>107.26042162070976</v>
      </c>
      <c r="G385" s="1">
        <f t="shared" si="21"/>
        <v>1.3806499055145398E-8</v>
      </c>
      <c r="H385" s="1">
        <f t="shared" si="22"/>
        <v>107.26042157929027</v>
      </c>
      <c r="I385" s="1">
        <f t="shared" si="23"/>
        <v>107.26042166212926</v>
      </c>
    </row>
    <row r="386" spans="1:9" x14ac:dyDescent="0.5">
      <c r="A386" t="s">
        <v>384</v>
      </c>
      <c r="B386" s="1">
        <v>22.011500000000002</v>
      </c>
      <c r="C386" s="1">
        <v>22.011500000000002</v>
      </c>
      <c r="D386" s="1">
        <v>22.011500000000002</v>
      </c>
      <c r="E386" s="1">
        <v>22.011500000000002</v>
      </c>
      <c r="F386" s="1">
        <f t="shared" si="20"/>
        <v>22.011500000000002</v>
      </c>
      <c r="G386" s="1">
        <f t="shared" si="21"/>
        <v>0</v>
      </c>
      <c r="H386" s="1">
        <f t="shared" si="22"/>
        <v>22.011500000000002</v>
      </c>
      <c r="I386" s="1">
        <f t="shared" si="23"/>
        <v>22.011500000000002</v>
      </c>
    </row>
    <row r="387" spans="1:9" x14ac:dyDescent="0.5">
      <c r="A387" t="s">
        <v>385</v>
      </c>
      <c r="B387" s="1">
        <v>0.31070931400000001</v>
      </c>
      <c r="C387" s="1">
        <v>0.31070931395402002</v>
      </c>
      <c r="D387" s="1">
        <v>0.31070931395402002</v>
      </c>
      <c r="E387" s="1">
        <v>0.31070931395402002</v>
      </c>
      <c r="F387" s="1">
        <f t="shared" ref="F387:F450" si="24">AVERAGE(B387:E387)</f>
        <v>0.31070931396551504</v>
      </c>
      <c r="G387" s="1">
        <f t="shared" ref="G387:G450" si="25">_xlfn.STDEV.S(B387:E387)</f>
        <v>2.2989998793599001E-11</v>
      </c>
      <c r="H387" s="1">
        <f t="shared" ref="H387:H450" si="26">F387-3*G387</f>
        <v>0.31070931389654505</v>
      </c>
      <c r="I387" s="1">
        <f t="shared" ref="I387:I450" si="27">F387+3*G387</f>
        <v>0.31070931403448504</v>
      </c>
    </row>
    <row r="388" spans="1:9" x14ac:dyDescent="0.5">
      <c r="A388" t="s">
        <v>386</v>
      </c>
      <c r="B388" s="1">
        <v>-1605.2254</v>
      </c>
      <c r="C388" s="1">
        <v>-1605.22539999999</v>
      </c>
      <c r="D388" s="1">
        <v>-1605.22539999999</v>
      </c>
      <c r="E388" s="1">
        <v>-1605.22539999999</v>
      </c>
      <c r="F388" s="1">
        <f t="shared" si="24"/>
        <v>-1605.2253999999925</v>
      </c>
      <c r="G388" s="1">
        <f t="shared" si="25"/>
        <v>5.0022208597511053E-12</v>
      </c>
      <c r="H388" s="1">
        <f t="shared" si="26"/>
        <v>-1605.2254000000075</v>
      </c>
      <c r="I388" s="1">
        <f t="shared" si="27"/>
        <v>-1605.2253999999775</v>
      </c>
    </row>
    <row r="389" spans="1:9" x14ac:dyDescent="0.5">
      <c r="A389" t="s">
        <v>387</v>
      </c>
      <c r="B389" s="1">
        <v>21.973782069999999</v>
      </c>
      <c r="C389" s="1">
        <v>21.9737820706607</v>
      </c>
      <c r="D389" s="1">
        <v>21.9737820706607</v>
      </c>
      <c r="E389" s="1">
        <v>21.9737820706607</v>
      </c>
      <c r="F389" s="1">
        <f t="shared" si="24"/>
        <v>21.973782070495528</v>
      </c>
      <c r="G389" s="1">
        <f t="shared" si="25"/>
        <v>3.3035085779443168E-10</v>
      </c>
      <c r="H389" s="1">
        <f t="shared" si="26"/>
        <v>21.973782069504473</v>
      </c>
      <c r="I389" s="1">
        <f t="shared" si="27"/>
        <v>21.973782071486582</v>
      </c>
    </row>
    <row r="390" spans="1:9" x14ac:dyDescent="0.5">
      <c r="A390" t="s">
        <v>388</v>
      </c>
      <c r="B390" s="1">
        <v>5.5800000000000002E-2</v>
      </c>
      <c r="C390" s="1">
        <v>5.5800000000000002E-2</v>
      </c>
      <c r="D390" s="1">
        <v>5.5800000000000002E-2</v>
      </c>
      <c r="E390" s="1">
        <v>5.5800000000000002E-2</v>
      </c>
      <c r="F390" s="1">
        <f t="shared" si="24"/>
        <v>5.5800000000000002E-2</v>
      </c>
      <c r="G390" s="1">
        <f t="shared" si="25"/>
        <v>0</v>
      </c>
      <c r="H390" s="1">
        <f t="shared" si="26"/>
        <v>5.5800000000000002E-2</v>
      </c>
      <c r="I390" s="1">
        <f t="shared" si="27"/>
        <v>5.5800000000000002E-2</v>
      </c>
    </row>
    <row r="391" spans="1:9" x14ac:dyDescent="0.5">
      <c r="A391" t="s">
        <v>389</v>
      </c>
      <c r="B391" s="1">
        <v>4.2895219999999996E-3</v>
      </c>
      <c r="C391" s="1">
        <v>4.2895221179054003E-3</v>
      </c>
      <c r="D391" s="1">
        <v>4.2895221179054003E-3</v>
      </c>
      <c r="E391" s="1">
        <v>4.2895221179054003E-3</v>
      </c>
      <c r="F391" s="1">
        <f t="shared" si="24"/>
        <v>4.2895220884290501E-3</v>
      </c>
      <c r="G391" s="1">
        <f t="shared" si="25"/>
        <v>5.8952700360270782E-11</v>
      </c>
      <c r="H391" s="1">
        <f t="shared" si="26"/>
        <v>4.2895219115709491E-3</v>
      </c>
      <c r="I391" s="1">
        <f t="shared" si="27"/>
        <v>4.2895222652871512E-3</v>
      </c>
    </row>
    <row r="392" spans="1:9" x14ac:dyDescent="0.5">
      <c r="A392" t="s">
        <v>390</v>
      </c>
      <c r="B392" s="1">
        <v>630.40483200000006</v>
      </c>
      <c r="C392" s="1">
        <v>630.40484300000003</v>
      </c>
      <c r="D392" s="1">
        <v>630.40483200000006</v>
      </c>
      <c r="E392" s="1">
        <v>630.40483200000006</v>
      </c>
      <c r="F392" s="1">
        <f t="shared" si="24"/>
        <v>630.40483475000008</v>
      </c>
      <c r="G392" s="1">
        <f t="shared" si="25"/>
        <v>5.4999999861138349E-6</v>
      </c>
      <c r="H392" s="1">
        <f t="shared" si="26"/>
        <v>630.40481825000006</v>
      </c>
      <c r="I392" s="1">
        <f t="shared" si="27"/>
        <v>630.40485125000009</v>
      </c>
    </row>
    <row r="393" spans="1:9" x14ac:dyDescent="0.5">
      <c r="A393" t="s">
        <v>391</v>
      </c>
      <c r="B393" s="1">
        <v>35.940852990000003</v>
      </c>
      <c r="C393" s="1">
        <v>35.9408554014706</v>
      </c>
      <c r="D393" s="1">
        <v>35.9408529890284</v>
      </c>
      <c r="E393" s="1">
        <v>35.9408529890284</v>
      </c>
      <c r="F393" s="1">
        <f t="shared" si="24"/>
        <v>35.940853592381849</v>
      </c>
      <c r="G393" s="1">
        <f t="shared" si="25"/>
        <v>1.2060592529877329E-6</v>
      </c>
      <c r="H393" s="1">
        <f t="shared" si="26"/>
        <v>35.940849974204092</v>
      </c>
      <c r="I393" s="1">
        <f t="shared" si="27"/>
        <v>35.940857210559606</v>
      </c>
    </row>
    <row r="394" spans="1:9" x14ac:dyDescent="0.5">
      <c r="A394" t="s">
        <v>392</v>
      </c>
      <c r="B394" s="1">
        <v>630.4049</v>
      </c>
      <c r="C394" s="1">
        <v>630.4049</v>
      </c>
      <c r="D394" s="1">
        <v>630.4049</v>
      </c>
      <c r="E394" s="1">
        <v>630.4049</v>
      </c>
      <c r="F394" s="1">
        <f t="shared" si="24"/>
        <v>630.4049</v>
      </c>
      <c r="G394" s="1">
        <f t="shared" si="25"/>
        <v>0</v>
      </c>
      <c r="H394" s="1">
        <f t="shared" si="26"/>
        <v>630.4049</v>
      </c>
      <c r="I394" s="1">
        <f t="shared" si="27"/>
        <v>630.4049</v>
      </c>
    </row>
    <row r="395" spans="1:9" x14ac:dyDescent="0.5">
      <c r="A395" t="s">
        <v>393</v>
      </c>
      <c r="B395" s="1">
        <v>35.940867869999998</v>
      </c>
      <c r="C395" s="1">
        <v>35.940867869475603</v>
      </c>
      <c r="D395" s="1">
        <v>35.940867869475603</v>
      </c>
      <c r="E395" s="1">
        <v>35.940867869475603</v>
      </c>
      <c r="F395" s="1">
        <f t="shared" si="24"/>
        <v>35.940867869606699</v>
      </c>
      <c r="G395" s="1">
        <f t="shared" si="25"/>
        <v>2.6219737495492685E-10</v>
      </c>
      <c r="H395" s="1">
        <f t="shared" si="26"/>
        <v>35.940867868820106</v>
      </c>
      <c r="I395" s="1">
        <f t="shared" si="27"/>
        <v>35.940867870393291</v>
      </c>
    </row>
    <row r="396" spans="1:9" x14ac:dyDescent="0.5">
      <c r="A396" t="s">
        <v>394</v>
      </c>
      <c r="B396" s="1">
        <v>648.7713</v>
      </c>
      <c r="C396" s="1">
        <v>648.7713</v>
      </c>
      <c r="D396" s="1">
        <v>648.7713</v>
      </c>
      <c r="E396" s="1">
        <v>648.7713</v>
      </c>
      <c r="F396" s="1">
        <f t="shared" si="24"/>
        <v>648.7713</v>
      </c>
      <c r="G396" s="1">
        <f t="shared" si="25"/>
        <v>0</v>
      </c>
      <c r="H396" s="1">
        <f t="shared" si="26"/>
        <v>648.7713</v>
      </c>
      <c r="I396" s="1">
        <f t="shared" si="27"/>
        <v>648.7713</v>
      </c>
    </row>
    <row r="397" spans="1:9" x14ac:dyDescent="0.5">
      <c r="A397" t="s">
        <v>395</v>
      </c>
      <c r="B397" s="1">
        <v>36.212940740000001</v>
      </c>
      <c r="C397" s="1">
        <v>36.212940744220703</v>
      </c>
      <c r="D397" s="1">
        <v>36.212940744220703</v>
      </c>
      <c r="E397" s="1">
        <v>36.212940744220703</v>
      </c>
      <c r="F397" s="1">
        <f t="shared" si="24"/>
        <v>36.212940743165525</v>
      </c>
      <c r="G397" s="1">
        <f t="shared" si="25"/>
        <v>2.1103510050589611E-9</v>
      </c>
      <c r="H397" s="1">
        <f t="shared" si="26"/>
        <v>36.212940736834469</v>
      </c>
      <c r="I397" s="1">
        <f t="shared" si="27"/>
        <v>36.212940749496582</v>
      </c>
    </row>
    <row r="398" spans="1:9" x14ac:dyDescent="0.5">
      <c r="A398" t="s">
        <v>396</v>
      </c>
      <c r="B398" s="1">
        <v>1358.5888</v>
      </c>
      <c r="C398" s="1">
        <v>1358.5888</v>
      </c>
      <c r="D398" s="1">
        <v>1358.5888</v>
      </c>
      <c r="E398" s="1">
        <v>1358.5888</v>
      </c>
      <c r="F398" s="1">
        <f t="shared" si="24"/>
        <v>1358.5888</v>
      </c>
      <c r="G398" s="1">
        <f t="shared" si="25"/>
        <v>0</v>
      </c>
      <c r="H398" s="1">
        <f t="shared" si="26"/>
        <v>1358.5888</v>
      </c>
      <c r="I398" s="1">
        <f t="shared" si="27"/>
        <v>1358.5888</v>
      </c>
    </row>
    <row r="399" spans="1:9" x14ac:dyDescent="0.5">
      <c r="A399" t="s">
        <v>397</v>
      </c>
      <c r="B399" s="1">
        <v>965.49642070000004</v>
      </c>
      <c r="C399" s="1">
        <v>965.49642070051698</v>
      </c>
      <c r="D399" s="1">
        <v>965.49642070051698</v>
      </c>
      <c r="E399" s="1">
        <v>965.49642070051698</v>
      </c>
      <c r="F399" s="1">
        <f t="shared" si="24"/>
        <v>965.49642070038772</v>
      </c>
      <c r="G399" s="1">
        <f t="shared" si="25"/>
        <v>2.5846702764364429E-10</v>
      </c>
      <c r="H399" s="1">
        <f t="shared" si="26"/>
        <v>965.49642069961237</v>
      </c>
      <c r="I399" s="1">
        <f t="shared" si="27"/>
        <v>965.49642070116306</v>
      </c>
    </row>
    <row r="400" spans="1:9" x14ac:dyDescent="0.5">
      <c r="A400" t="s">
        <v>398</v>
      </c>
      <c r="B400" s="1">
        <v>22.0092</v>
      </c>
      <c r="C400" s="1">
        <v>22.0092</v>
      </c>
      <c r="D400" s="1">
        <v>22.0092</v>
      </c>
      <c r="E400" s="1">
        <v>22.0092</v>
      </c>
      <c r="F400" s="1">
        <f t="shared" si="24"/>
        <v>22.0092</v>
      </c>
      <c r="G400" s="1">
        <f t="shared" si="25"/>
        <v>0</v>
      </c>
      <c r="H400" s="1">
        <f t="shared" si="26"/>
        <v>22.0092</v>
      </c>
      <c r="I400" s="1">
        <f t="shared" si="27"/>
        <v>22.0092</v>
      </c>
    </row>
    <row r="401" spans="1:9" x14ac:dyDescent="0.5">
      <c r="A401" t="s">
        <v>399</v>
      </c>
      <c r="B401" s="1">
        <v>1.240097021</v>
      </c>
      <c r="C401" s="1">
        <v>1.2400970212939799</v>
      </c>
      <c r="D401" s="1">
        <v>1.2400970212939799</v>
      </c>
      <c r="E401" s="1">
        <v>1.2400970212939799</v>
      </c>
      <c r="F401" s="1">
        <f t="shared" si="24"/>
        <v>1.2400970212204849</v>
      </c>
      <c r="G401" s="1">
        <f t="shared" si="25"/>
        <v>1.4698997574669193E-10</v>
      </c>
      <c r="H401" s="1">
        <f t="shared" si="26"/>
        <v>1.240097020779515</v>
      </c>
      <c r="I401" s="1">
        <f t="shared" si="27"/>
        <v>1.2400970216614549</v>
      </c>
    </row>
    <row r="402" spans="1:9" x14ac:dyDescent="0.5">
      <c r="A402" t="s">
        <v>400</v>
      </c>
      <c r="B402" s="1">
        <v>-1629.3045</v>
      </c>
      <c r="C402" s="1">
        <v>-1629.30449999999</v>
      </c>
      <c r="D402" s="1">
        <v>-1629.30449999999</v>
      </c>
      <c r="E402" s="1">
        <v>-1629.30449999999</v>
      </c>
      <c r="F402" s="1">
        <f t="shared" si="24"/>
        <v>-1629.3044999999925</v>
      </c>
      <c r="G402" s="1">
        <f t="shared" si="25"/>
        <v>5.0022208597511053E-12</v>
      </c>
      <c r="H402" s="1">
        <f t="shared" si="26"/>
        <v>-1629.3045000000075</v>
      </c>
      <c r="I402" s="1">
        <f t="shared" si="27"/>
        <v>-1629.3044999999775</v>
      </c>
    </row>
    <row r="403" spans="1:9" x14ac:dyDescent="0.5">
      <c r="A403" t="s">
        <v>401</v>
      </c>
      <c r="B403" s="1">
        <v>212.68973009999999</v>
      </c>
      <c r="C403" s="1">
        <v>212.689730092791</v>
      </c>
      <c r="D403" s="1">
        <v>212.689730092791</v>
      </c>
      <c r="E403" s="1">
        <v>212.689730092791</v>
      </c>
      <c r="F403" s="1">
        <f t="shared" si="24"/>
        <v>212.68973009459324</v>
      </c>
      <c r="G403" s="1">
        <f t="shared" si="25"/>
        <v>3.604498033382697E-9</v>
      </c>
      <c r="H403" s="1">
        <f t="shared" si="26"/>
        <v>212.68973008377975</v>
      </c>
      <c r="I403" s="1">
        <f t="shared" si="27"/>
        <v>212.68973010540674</v>
      </c>
    </row>
    <row r="404" spans="1:9" x14ac:dyDescent="0.5">
      <c r="A404" t="s">
        <v>402</v>
      </c>
      <c r="B404" s="1">
        <v>0.1157</v>
      </c>
      <c r="C404" s="1">
        <v>0.115699999999999</v>
      </c>
      <c r="D404" s="1">
        <v>0.115699999999999</v>
      </c>
      <c r="E404" s="1">
        <v>0.115699999999999</v>
      </c>
      <c r="F404" s="1">
        <f t="shared" si="24"/>
        <v>0.11569999999999925</v>
      </c>
      <c r="G404" s="1">
        <f t="shared" si="25"/>
        <v>4.9960036108132044E-16</v>
      </c>
      <c r="H404" s="1">
        <f t="shared" si="26"/>
        <v>0.11569999999999775</v>
      </c>
      <c r="I404" s="1">
        <f t="shared" si="27"/>
        <v>0.11570000000000075</v>
      </c>
    </row>
    <row r="405" spans="1:9" x14ac:dyDescent="0.5">
      <c r="A405" t="s">
        <v>403</v>
      </c>
      <c r="B405" s="1">
        <v>0.11696442999999999</v>
      </c>
      <c r="C405" s="1">
        <v>0.11696442954068401</v>
      </c>
      <c r="D405" s="1">
        <v>0.11696442954068401</v>
      </c>
      <c r="E405" s="1">
        <v>0.11696442954068401</v>
      </c>
      <c r="F405" s="1">
        <f t="shared" si="24"/>
        <v>0.11696442965551299</v>
      </c>
      <c r="G405" s="1">
        <f t="shared" si="25"/>
        <v>2.2965799401086872E-10</v>
      </c>
      <c r="H405" s="1">
        <f t="shared" si="26"/>
        <v>0.116964428966539</v>
      </c>
      <c r="I405" s="1">
        <f t="shared" si="27"/>
        <v>0.11696443034448697</v>
      </c>
    </row>
    <row r="406" spans="1:9" x14ac:dyDescent="0.5">
      <c r="A406" t="s">
        <v>404</v>
      </c>
      <c r="B406" s="1">
        <v>111.79319340000001</v>
      </c>
      <c r="C406" s="1">
        <v>111.793193401956</v>
      </c>
      <c r="D406" s="1">
        <v>111.793193401956</v>
      </c>
      <c r="E406" s="1">
        <v>111.793193401956</v>
      </c>
      <c r="F406" s="1">
        <f t="shared" si="24"/>
        <v>111.79319340146699</v>
      </c>
      <c r="G406" s="1">
        <f t="shared" si="25"/>
        <v>9.7799812700499394E-10</v>
      </c>
      <c r="H406" s="1">
        <f t="shared" si="26"/>
        <v>111.79319339853299</v>
      </c>
      <c r="I406" s="1">
        <f t="shared" si="27"/>
        <v>111.79319340440099</v>
      </c>
    </row>
    <row r="407" spans="1:9" x14ac:dyDescent="0.5">
      <c r="A407" t="s">
        <v>405</v>
      </c>
      <c r="B407" s="1">
        <v>0.68700719099999996</v>
      </c>
      <c r="C407" s="1">
        <v>0.68700719072168903</v>
      </c>
      <c r="D407" s="1">
        <v>0.68700719072168903</v>
      </c>
      <c r="E407" s="1">
        <v>0.68700719072168903</v>
      </c>
      <c r="F407" s="1">
        <f t="shared" si="24"/>
        <v>0.68700719079126682</v>
      </c>
      <c r="G407" s="1">
        <f t="shared" si="25"/>
        <v>1.3915546492883434E-10</v>
      </c>
      <c r="H407" s="1">
        <f t="shared" si="26"/>
        <v>0.68700719037380042</v>
      </c>
      <c r="I407" s="1">
        <f t="shared" si="27"/>
        <v>0.68700719120873321</v>
      </c>
    </row>
    <row r="408" spans="1:9" x14ac:dyDescent="0.5">
      <c r="A408" t="s">
        <v>406</v>
      </c>
      <c r="B408" s="1">
        <v>111.6373107</v>
      </c>
      <c r="C408" s="1">
        <v>111.63731067449901</v>
      </c>
      <c r="D408" s="1">
        <v>111.63731067449901</v>
      </c>
      <c r="E408" s="1">
        <v>111.63731067449901</v>
      </c>
      <c r="F408" s="1">
        <f t="shared" si="24"/>
        <v>111.63731068087426</v>
      </c>
      <c r="G408" s="1">
        <f t="shared" si="25"/>
        <v>1.2750497546682282E-8</v>
      </c>
      <c r="H408" s="1">
        <f t="shared" si="26"/>
        <v>111.63731064262277</v>
      </c>
      <c r="I408" s="1">
        <f t="shared" si="27"/>
        <v>111.63731071912576</v>
      </c>
    </row>
    <row r="409" spans="1:9" x14ac:dyDescent="0.5">
      <c r="A409" t="s">
        <v>407</v>
      </c>
      <c r="B409" s="1">
        <v>6.231341177</v>
      </c>
      <c r="C409" s="1">
        <v>6.2313411772373604</v>
      </c>
      <c r="D409" s="1">
        <v>6.2313411772373604</v>
      </c>
      <c r="E409" s="1">
        <v>6.2313411772373604</v>
      </c>
      <c r="F409" s="1">
        <f t="shared" si="24"/>
        <v>6.2313411771780203</v>
      </c>
      <c r="G409" s="1">
        <f t="shared" si="25"/>
        <v>1.1868017679717013E-10</v>
      </c>
      <c r="H409" s="1">
        <f t="shared" si="26"/>
        <v>6.2313411768219797</v>
      </c>
      <c r="I409" s="1">
        <f t="shared" si="27"/>
        <v>6.2313411775340608</v>
      </c>
    </row>
    <row r="410" spans="1:9" x14ac:dyDescent="0.5">
      <c r="A410" t="s">
        <v>408</v>
      </c>
      <c r="B410" s="1">
        <v>5806.7651269999997</v>
      </c>
      <c r="C410" s="1">
        <v>4709.6985101699802</v>
      </c>
      <c r="D410" s="1">
        <v>13092.9285526275</v>
      </c>
      <c r="E410" s="1">
        <v>6582.0537090301495</v>
      </c>
      <c r="F410" s="1">
        <f t="shared" si="24"/>
        <v>7547.8614747069078</v>
      </c>
      <c r="G410" s="1">
        <f t="shared" si="25"/>
        <v>3775.6738490918283</v>
      </c>
      <c r="H410" s="1">
        <v>0</v>
      </c>
      <c r="I410" s="1">
        <v>100000000</v>
      </c>
    </row>
    <row r="411" spans="1:9" x14ac:dyDescent="0.5">
      <c r="A411" t="s">
        <v>409</v>
      </c>
      <c r="B411" s="1">
        <v>482.78022820000001</v>
      </c>
      <c r="C411" s="1">
        <v>123.833974757085</v>
      </c>
      <c r="D411" s="1">
        <v>485.941412483227</v>
      </c>
      <c r="E411" s="1">
        <v>385.955901311697</v>
      </c>
      <c r="F411" s="1">
        <f t="shared" si="24"/>
        <v>369.62787918800228</v>
      </c>
      <c r="G411" s="1">
        <f t="shared" si="25"/>
        <v>170.30711462572452</v>
      </c>
      <c r="H411" s="1">
        <v>0</v>
      </c>
      <c r="I411" s="1">
        <v>100000000</v>
      </c>
    </row>
    <row r="412" spans="1:9" x14ac:dyDescent="0.5">
      <c r="A412" t="s">
        <v>410</v>
      </c>
      <c r="B412" s="1">
        <v>-1461.2135060000001</v>
      </c>
      <c r="C412" s="1">
        <v>-1461.213485</v>
      </c>
      <c r="D412" s="1">
        <v>-1461.2135060000001</v>
      </c>
      <c r="E412" s="1">
        <v>-1461.2135060000001</v>
      </c>
      <c r="F412" s="1">
        <f t="shared" si="24"/>
        <v>-1461.2135007500001</v>
      </c>
      <c r="G412" s="1">
        <f t="shared" si="25"/>
        <v>1.0500000030333467E-5</v>
      </c>
      <c r="H412" s="1">
        <f t="shared" si="26"/>
        <v>-1461.2135322500003</v>
      </c>
      <c r="I412" s="1">
        <f t="shared" si="27"/>
        <v>-1461.2134692499999</v>
      </c>
    </row>
    <row r="413" spans="1:9" x14ac:dyDescent="0.5">
      <c r="A413" t="s">
        <v>411</v>
      </c>
      <c r="B413" s="1">
        <v>3.6976104809999999</v>
      </c>
      <c r="C413" s="1">
        <v>3.69760897267185</v>
      </c>
      <c r="D413" s="1">
        <v>3.69761048100042</v>
      </c>
      <c r="E413" s="1">
        <v>3.69761048100042</v>
      </c>
      <c r="F413" s="1">
        <f t="shared" si="24"/>
        <v>3.6976101039181728</v>
      </c>
      <c r="G413" s="1">
        <f t="shared" si="25"/>
        <v>7.5416421500369064E-7</v>
      </c>
      <c r="H413" s="1">
        <f t="shared" si="26"/>
        <v>3.697607841425528</v>
      </c>
      <c r="I413" s="1">
        <f t="shared" si="27"/>
        <v>3.6976123664108176</v>
      </c>
    </row>
    <row r="414" spans="1:9" x14ac:dyDescent="0.5">
      <c r="A414" t="s">
        <v>412</v>
      </c>
      <c r="B414" s="1">
        <v>1461.2135000000001</v>
      </c>
      <c r="C414" s="1">
        <v>1461.2135000000001</v>
      </c>
      <c r="D414" s="1">
        <v>1461.2135000000001</v>
      </c>
      <c r="E414" s="1">
        <v>1461.2135000000001</v>
      </c>
      <c r="F414" s="1">
        <f t="shared" si="24"/>
        <v>1461.2135000000001</v>
      </c>
      <c r="G414" s="1">
        <f t="shared" si="25"/>
        <v>0</v>
      </c>
      <c r="H414" s="1">
        <f t="shared" si="26"/>
        <v>1461.2135000000001</v>
      </c>
      <c r="I414" s="1">
        <f t="shared" si="27"/>
        <v>1461.2135000000001</v>
      </c>
    </row>
    <row r="415" spans="1:9" x14ac:dyDescent="0.5">
      <c r="A415" t="s">
        <v>413</v>
      </c>
      <c r="B415" s="1">
        <v>3.697694635</v>
      </c>
      <c r="C415" s="1">
        <v>3.6976946346489101</v>
      </c>
      <c r="D415" s="1">
        <v>3.6976946346489101</v>
      </c>
      <c r="E415" s="1">
        <v>3.6976946346489101</v>
      </c>
      <c r="F415" s="1">
        <f t="shared" si="24"/>
        <v>3.6976946347366826</v>
      </c>
      <c r="G415" s="1">
        <f t="shared" si="25"/>
        <v>1.7554491194005095E-10</v>
      </c>
      <c r="H415" s="1">
        <f t="shared" si="26"/>
        <v>3.6976946342100478</v>
      </c>
      <c r="I415" s="1">
        <f t="shared" si="27"/>
        <v>3.6976946352633173</v>
      </c>
    </row>
    <row r="416" spans="1:9" x14ac:dyDescent="0.5">
      <c r="A416" t="s">
        <v>414</v>
      </c>
      <c r="B416" s="1">
        <v>1469.5717</v>
      </c>
      <c r="C416" s="1">
        <v>1469.5717</v>
      </c>
      <c r="D416" s="1">
        <v>1469.5717</v>
      </c>
      <c r="E416" s="1">
        <v>1469.5717</v>
      </c>
      <c r="F416" s="1">
        <f t="shared" si="24"/>
        <v>1469.5717</v>
      </c>
      <c r="G416" s="1">
        <f t="shared" si="25"/>
        <v>0</v>
      </c>
      <c r="H416" s="1">
        <f t="shared" si="26"/>
        <v>1469.5717</v>
      </c>
      <c r="I416" s="1">
        <f t="shared" si="27"/>
        <v>1469.5717</v>
      </c>
    </row>
    <row r="417" spans="1:9" x14ac:dyDescent="0.5">
      <c r="A417" t="s">
        <v>415</v>
      </c>
      <c r="B417" s="1">
        <v>3.63359305</v>
      </c>
      <c r="C417" s="1">
        <v>3.6335930503505001</v>
      </c>
      <c r="D417" s="1">
        <v>3.6335930503505001</v>
      </c>
      <c r="E417" s="1">
        <v>3.6335930503505001</v>
      </c>
      <c r="F417" s="1">
        <f t="shared" si="24"/>
        <v>3.633593050262875</v>
      </c>
      <c r="G417" s="1">
        <f t="shared" si="25"/>
        <v>1.7525003670471051E-10</v>
      </c>
      <c r="H417" s="1">
        <f t="shared" si="26"/>
        <v>3.6335930497371249</v>
      </c>
      <c r="I417" s="1">
        <f t="shared" si="27"/>
        <v>3.6335930507886252</v>
      </c>
    </row>
    <row r="418" spans="1:9" x14ac:dyDescent="0.5">
      <c r="A418" t="s">
        <v>416</v>
      </c>
      <c r="B418" s="1">
        <v>2347.4596000000001</v>
      </c>
      <c r="C418" s="1">
        <v>2347.4596000000001</v>
      </c>
      <c r="D418" s="1">
        <v>2347.4596000000001</v>
      </c>
      <c r="E418" s="1">
        <v>2347.4596000000001</v>
      </c>
      <c r="F418" s="1">
        <f t="shared" si="24"/>
        <v>2347.4596000000001</v>
      </c>
      <c r="G418" s="1">
        <f t="shared" si="25"/>
        <v>0</v>
      </c>
      <c r="H418" s="1">
        <f t="shared" si="26"/>
        <v>2347.4596000000001</v>
      </c>
      <c r="I418" s="1">
        <f t="shared" si="27"/>
        <v>2347.4596000000001</v>
      </c>
    </row>
    <row r="419" spans="1:9" x14ac:dyDescent="0.5">
      <c r="A419" t="s">
        <v>417</v>
      </c>
      <c r="B419" s="1">
        <v>168.88285310000001</v>
      </c>
      <c r="C419" s="1">
        <v>168.88285314396001</v>
      </c>
      <c r="D419" s="1">
        <v>168.88285314396001</v>
      </c>
      <c r="E419" s="1">
        <v>168.88285314396001</v>
      </c>
      <c r="F419" s="1">
        <f t="shared" si="24"/>
        <v>168.88285313297001</v>
      </c>
      <c r="G419" s="1">
        <f t="shared" si="25"/>
        <v>2.1980000042278047E-8</v>
      </c>
      <c r="H419" s="1">
        <f t="shared" si="26"/>
        <v>168.88285306703</v>
      </c>
      <c r="I419" s="1">
        <f t="shared" si="27"/>
        <v>168.88285319891003</v>
      </c>
    </row>
    <row r="420" spans="1:9" x14ac:dyDescent="0.5">
      <c r="A420" t="s">
        <v>418</v>
      </c>
      <c r="B420" s="1">
        <v>51.019199999999998</v>
      </c>
      <c r="C420" s="1">
        <v>51.019199999999998</v>
      </c>
      <c r="D420" s="1">
        <v>51.019199999999998</v>
      </c>
      <c r="E420" s="1">
        <v>51.019199999999998</v>
      </c>
      <c r="F420" s="1">
        <f t="shared" si="24"/>
        <v>51.019199999999998</v>
      </c>
      <c r="G420" s="1">
        <f t="shared" si="25"/>
        <v>0</v>
      </c>
      <c r="H420" s="1">
        <f t="shared" si="26"/>
        <v>51.019199999999998</v>
      </c>
      <c r="I420" s="1">
        <f t="shared" si="27"/>
        <v>51.019199999999998</v>
      </c>
    </row>
    <row r="421" spans="1:9" x14ac:dyDescent="0.5">
      <c r="A421" t="s">
        <v>419</v>
      </c>
      <c r="B421" s="1">
        <v>0.59783345899999996</v>
      </c>
      <c r="C421" s="1">
        <v>0.59783345878634497</v>
      </c>
      <c r="D421" s="1">
        <v>0.59783345878634497</v>
      </c>
      <c r="E421" s="1">
        <v>0.59783345878634497</v>
      </c>
      <c r="F421" s="1">
        <f t="shared" si="24"/>
        <v>0.59783345883975869</v>
      </c>
      <c r="G421" s="1">
        <f t="shared" si="25"/>
        <v>1.06827491297428E-10</v>
      </c>
      <c r="H421" s="1">
        <f t="shared" si="26"/>
        <v>0.59783345851927616</v>
      </c>
      <c r="I421" s="1">
        <f t="shared" si="27"/>
        <v>0.59783345916024122</v>
      </c>
    </row>
    <row r="422" spans="1:9" x14ac:dyDescent="0.5">
      <c r="A422" t="s">
        <v>420</v>
      </c>
      <c r="B422" s="1">
        <v>-3757.2248</v>
      </c>
      <c r="C422" s="1">
        <v>-3757.2248</v>
      </c>
      <c r="D422" s="1">
        <v>-3757.2248</v>
      </c>
      <c r="E422" s="1">
        <v>-3757.2248</v>
      </c>
      <c r="F422" s="1">
        <f t="shared" si="24"/>
        <v>-3757.2248</v>
      </c>
      <c r="G422" s="1">
        <f t="shared" si="25"/>
        <v>0</v>
      </c>
      <c r="H422" s="1">
        <f t="shared" si="26"/>
        <v>-3757.2248</v>
      </c>
      <c r="I422" s="1">
        <f t="shared" si="27"/>
        <v>-3757.2248</v>
      </c>
    </row>
    <row r="423" spans="1:9" x14ac:dyDescent="0.5">
      <c r="A423" t="s">
        <v>421</v>
      </c>
      <c r="B423" s="1">
        <v>44.796965579999998</v>
      </c>
      <c r="C423" s="1">
        <v>44.796965583743599</v>
      </c>
      <c r="D423" s="1">
        <v>44.796965583743599</v>
      </c>
      <c r="E423" s="1">
        <v>44.796965583743599</v>
      </c>
      <c r="F423" s="1">
        <f t="shared" si="24"/>
        <v>44.796965582807701</v>
      </c>
      <c r="G423" s="1">
        <f t="shared" si="25"/>
        <v>1.8718004923823496E-9</v>
      </c>
      <c r="H423" s="1">
        <f t="shared" si="26"/>
        <v>44.796965577192296</v>
      </c>
      <c r="I423" s="1">
        <f t="shared" si="27"/>
        <v>44.796965588423106</v>
      </c>
    </row>
    <row r="424" spans="1:9" x14ac:dyDescent="0.5">
      <c r="A424" t="s">
        <v>422</v>
      </c>
      <c r="B424" s="1">
        <v>3.1300000000000001E-2</v>
      </c>
      <c r="C424" s="1">
        <v>3.1300000000000001E-2</v>
      </c>
      <c r="D424" s="1">
        <v>3.1300000000000001E-2</v>
      </c>
      <c r="E424" s="1">
        <v>3.1300000000000001E-2</v>
      </c>
      <c r="F424" s="1">
        <f t="shared" si="24"/>
        <v>3.1300000000000001E-2</v>
      </c>
      <c r="G424" s="1">
        <f t="shared" si="25"/>
        <v>0</v>
      </c>
      <c r="H424" s="1">
        <f t="shared" si="26"/>
        <v>3.1300000000000001E-2</v>
      </c>
      <c r="I424" s="1">
        <f t="shared" si="27"/>
        <v>3.1300000000000001E-2</v>
      </c>
    </row>
    <row r="425" spans="1:9" x14ac:dyDescent="0.5">
      <c r="A425" t="s">
        <v>423</v>
      </c>
      <c r="B425" s="1">
        <v>4.3728960000000002E-3</v>
      </c>
      <c r="C425" s="1">
        <v>4.3728963196285999E-3</v>
      </c>
      <c r="D425" s="1">
        <v>4.3728963196285999E-3</v>
      </c>
      <c r="E425" s="1">
        <v>4.3728963196285999E-3</v>
      </c>
      <c r="F425" s="1">
        <f t="shared" si="24"/>
        <v>4.3728962397214495E-3</v>
      </c>
      <c r="G425" s="1">
        <f t="shared" si="25"/>
        <v>1.5981429981465345E-10</v>
      </c>
      <c r="H425" s="1">
        <f t="shared" si="26"/>
        <v>4.3728957602785501E-3</v>
      </c>
      <c r="I425" s="1">
        <f t="shared" si="27"/>
        <v>4.372896719164349E-3</v>
      </c>
    </row>
    <row r="426" spans="1:9" x14ac:dyDescent="0.5">
      <c r="A426" t="s">
        <v>424</v>
      </c>
      <c r="B426" s="1">
        <v>-1461.2198840000001</v>
      </c>
      <c r="C426" s="1">
        <v>-1461.2198619999999</v>
      </c>
      <c r="D426" s="1">
        <v>-1461.2198840000001</v>
      </c>
      <c r="E426" s="1">
        <v>-1461.2198840000001</v>
      </c>
      <c r="F426" s="1">
        <f t="shared" si="24"/>
        <v>-1461.2198785</v>
      </c>
      <c r="G426" s="1">
        <f t="shared" si="25"/>
        <v>1.1000000085914508E-5</v>
      </c>
      <c r="H426" s="1">
        <f t="shared" si="26"/>
        <v>-1461.2199115000003</v>
      </c>
      <c r="I426" s="1">
        <f t="shared" si="27"/>
        <v>-1461.2198454999998</v>
      </c>
    </row>
    <row r="427" spans="1:9" x14ac:dyDescent="0.5">
      <c r="A427" t="s">
        <v>425</v>
      </c>
      <c r="B427" s="1">
        <v>33.291405519999998</v>
      </c>
      <c r="C427" s="1">
        <v>33.291402193305998</v>
      </c>
      <c r="D427" s="1">
        <v>33.291405519876903</v>
      </c>
      <c r="E427" s="1">
        <v>33.291405519876903</v>
      </c>
      <c r="F427" s="1">
        <f t="shared" si="24"/>
        <v>33.291404688264947</v>
      </c>
      <c r="G427" s="1">
        <f t="shared" si="25"/>
        <v>1.663305969229515E-6</v>
      </c>
      <c r="H427" s="1">
        <f t="shared" si="26"/>
        <v>33.291399698347043</v>
      </c>
      <c r="I427" s="1">
        <f t="shared" si="27"/>
        <v>33.291409678182852</v>
      </c>
    </row>
    <row r="428" spans="1:9" x14ac:dyDescent="0.5">
      <c r="A428" t="s">
        <v>426</v>
      </c>
      <c r="B428" s="1">
        <v>1461.22</v>
      </c>
      <c r="C428" s="1">
        <v>1461.2199000000001</v>
      </c>
      <c r="D428" s="1">
        <v>1461.22</v>
      </c>
      <c r="E428" s="1">
        <v>1461.22</v>
      </c>
      <c r="F428" s="1">
        <f t="shared" si="24"/>
        <v>1461.2199750000002</v>
      </c>
      <c r="G428" s="1">
        <f t="shared" si="25"/>
        <v>4.9999999987448973E-5</v>
      </c>
      <c r="H428" s="1">
        <f t="shared" si="26"/>
        <v>1461.2198250000001</v>
      </c>
      <c r="I428" s="1">
        <f t="shared" si="27"/>
        <v>1461.2201250000003</v>
      </c>
    </row>
    <row r="429" spans="1:9" x14ac:dyDescent="0.5">
      <c r="A429" t="s">
        <v>427</v>
      </c>
      <c r="B429" s="1">
        <v>33.291406500000001</v>
      </c>
      <c r="C429" s="1">
        <v>33.291349695445497</v>
      </c>
      <c r="D429" s="1">
        <v>33.291406502112302</v>
      </c>
      <c r="E429" s="1">
        <v>33.291406502112302</v>
      </c>
      <c r="F429" s="1">
        <f t="shared" si="24"/>
        <v>33.291392299917526</v>
      </c>
      <c r="G429" s="1">
        <f t="shared" si="25"/>
        <v>2.8402981369807094E-5</v>
      </c>
      <c r="H429" s="1">
        <f t="shared" si="26"/>
        <v>33.291307090973419</v>
      </c>
      <c r="I429" s="1">
        <f t="shared" si="27"/>
        <v>33.291477508861632</v>
      </c>
    </row>
    <row r="430" spans="1:9" x14ac:dyDescent="0.5">
      <c r="A430" t="s">
        <v>428</v>
      </c>
      <c r="B430" s="1">
        <v>1469.2528</v>
      </c>
      <c r="C430" s="1">
        <v>1469.2528</v>
      </c>
      <c r="D430" s="1">
        <v>1469.2528</v>
      </c>
      <c r="E430" s="1">
        <v>1469.2528</v>
      </c>
      <c r="F430" s="1">
        <f t="shared" si="24"/>
        <v>1469.2528</v>
      </c>
      <c r="G430" s="1">
        <f t="shared" si="25"/>
        <v>0</v>
      </c>
      <c r="H430" s="1">
        <f t="shared" si="26"/>
        <v>1469.2528</v>
      </c>
      <c r="I430" s="1">
        <f t="shared" si="27"/>
        <v>1469.2528</v>
      </c>
    </row>
    <row r="431" spans="1:9" x14ac:dyDescent="0.5">
      <c r="A431" t="s">
        <v>429</v>
      </c>
      <c r="B431" s="1">
        <v>32.718658769999998</v>
      </c>
      <c r="C431" s="1">
        <v>32.718658773787602</v>
      </c>
      <c r="D431" s="1">
        <v>32.718658773787602</v>
      </c>
      <c r="E431" s="1">
        <v>32.718658773787602</v>
      </c>
      <c r="F431" s="1">
        <f t="shared" si="24"/>
        <v>32.718658772840705</v>
      </c>
      <c r="G431" s="1">
        <f t="shared" si="25"/>
        <v>1.8938024481984806E-9</v>
      </c>
      <c r="H431" s="1">
        <f t="shared" si="26"/>
        <v>32.718658767159297</v>
      </c>
      <c r="I431" s="1">
        <f t="shared" si="27"/>
        <v>32.718658778522112</v>
      </c>
    </row>
    <row r="432" spans="1:9" x14ac:dyDescent="0.5">
      <c r="A432" t="s">
        <v>430</v>
      </c>
      <c r="B432" s="1">
        <v>2347.3386999999998</v>
      </c>
      <c r="C432" s="1">
        <v>2347.3388</v>
      </c>
      <c r="D432" s="1">
        <v>2347.3386999999998</v>
      </c>
      <c r="E432" s="1">
        <v>2347.3386999999998</v>
      </c>
      <c r="F432" s="1">
        <f t="shared" si="24"/>
        <v>2347.3387250000001</v>
      </c>
      <c r="G432" s="1">
        <f t="shared" si="25"/>
        <v>5.0000000101135811E-5</v>
      </c>
      <c r="H432" s="1">
        <f t="shared" si="26"/>
        <v>2347.3385749999998</v>
      </c>
      <c r="I432" s="1">
        <f t="shared" si="27"/>
        <v>2347.3388750000004</v>
      </c>
    </row>
    <row r="433" spans="1:9" x14ac:dyDescent="0.5">
      <c r="A433" t="s">
        <v>431</v>
      </c>
      <c r="B433" s="1">
        <v>1520.16822</v>
      </c>
      <c r="C433" s="1">
        <v>1520.1683578038101</v>
      </c>
      <c r="D433" s="1">
        <v>1520.1682197907501</v>
      </c>
      <c r="E433" s="1">
        <v>1520.1682197907501</v>
      </c>
      <c r="F433" s="1">
        <f t="shared" si="24"/>
        <v>1520.1682543463276</v>
      </c>
      <c r="G433" s="1">
        <f t="shared" si="25"/>
        <v>6.8971725543616168E-5</v>
      </c>
      <c r="H433" s="1">
        <f t="shared" si="26"/>
        <v>1520.1680474311509</v>
      </c>
      <c r="I433" s="1">
        <f t="shared" si="27"/>
        <v>1520.1684612615043</v>
      </c>
    </row>
    <row r="434" spans="1:9" x14ac:dyDescent="0.5">
      <c r="A434" t="s">
        <v>432</v>
      </c>
      <c r="B434" s="1">
        <v>51.021000000000001</v>
      </c>
      <c r="C434" s="1">
        <v>51.021000000000001</v>
      </c>
      <c r="D434" s="1">
        <v>51.021000000000001</v>
      </c>
      <c r="E434" s="1">
        <v>51.021000000000001</v>
      </c>
      <c r="F434" s="1">
        <f t="shared" si="24"/>
        <v>51.021000000000001</v>
      </c>
      <c r="G434" s="1">
        <f t="shared" si="25"/>
        <v>0</v>
      </c>
      <c r="H434" s="1">
        <f t="shared" si="26"/>
        <v>51.021000000000001</v>
      </c>
      <c r="I434" s="1">
        <f t="shared" si="27"/>
        <v>51.021000000000001</v>
      </c>
    </row>
    <row r="435" spans="1:9" x14ac:dyDescent="0.5">
      <c r="A435" t="s">
        <v>433</v>
      </c>
      <c r="B435" s="1">
        <v>1.372727536</v>
      </c>
      <c r="C435" s="1">
        <v>1.37272753629002</v>
      </c>
      <c r="D435" s="1">
        <v>1.37272753629002</v>
      </c>
      <c r="E435" s="1">
        <v>1.37272753629002</v>
      </c>
      <c r="F435" s="1">
        <f t="shared" si="24"/>
        <v>1.3727275362175149</v>
      </c>
      <c r="G435" s="1">
        <f t="shared" si="25"/>
        <v>1.4501000400463208E-10</v>
      </c>
      <c r="H435" s="1">
        <f t="shared" si="26"/>
        <v>1.3727275357824849</v>
      </c>
      <c r="I435" s="1">
        <f t="shared" si="27"/>
        <v>1.3727275366525449</v>
      </c>
    </row>
    <row r="436" spans="1:9" x14ac:dyDescent="0.5">
      <c r="A436" t="s">
        <v>434</v>
      </c>
      <c r="B436" s="1">
        <v>-3816.7130000000002</v>
      </c>
      <c r="C436" s="1">
        <v>-3816.7130000000002</v>
      </c>
      <c r="D436" s="1">
        <v>-3816.7130000000002</v>
      </c>
      <c r="E436" s="1">
        <v>-3816.7130000000002</v>
      </c>
      <c r="F436" s="1">
        <f t="shared" si="24"/>
        <v>-3816.7130000000002</v>
      </c>
      <c r="G436" s="1">
        <f t="shared" si="25"/>
        <v>0</v>
      </c>
      <c r="H436" s="1">
        <f t="shared" si="26"/>
        <v>-3816.7130000000002</v>
      </c>
      <c r="I436" s="1">
        <f t="shared" si="27"/>
        <v>-3816.7130000000002</v>
      </c>
    </row>
    <row r="437" spans="1:9" x14ac:dyDescent="0.5">
      <c r="A437" t="s">
        <v>435</v>
      </c>
      <c r="B437" s="1">
        <v>439.04278520000003</v>
      </c>
      <c r="C437" s="1">
        <v>439.04278519195702</v>
      </c>
      <c r="D437" s="1">
        <v>439.04278519195702</v>
      </c>
      <c r="E437" s="1">
        <v>439.04278519195702</v>
      </c>
      <c r="F437" s="1">
        <f t="shared" si="24"/>
        <v>439.0427851939678</v>
      </c>
      <c r="G437" s="1">
        <f t="shared" si="25"/>
        <v>4.0215013542794969E-9</v>
      </c>
      <c r="H437" s="1">
        <f t="shared" si="26"/>
        <v>439.0427851819033</v>
      </c>
      <c r="I437" s="1">
        <f t="shared" si="27"/>
        <v>439.04278520603231</v>
      </c>
    </row>
    <row r="438" spans="1:9" x14ac:dyDescent="0.5">
      <c r="A438" t="s">
        <v>436</v>
      </c>
      <c r="B438" s="1">
        <v>3.4200000000000001E-2</v>
      </c>
      <c r="C438" s="1">
        <v>3.4200000000000001E-2</v>
      </c>
      <c r="D438" s="1">
        <v>3.4200000000000001E-2</v>
      </c>
      <c r="E438" s="1">
        <v>3.4200000000000001E-2</v>
      </c>
      <c r="F438" s="1">
        <f t="shared" si="24"/>
        <v>3.4200000000000001E-2</v>
      </c>
      <c r="G438" s="1">
        <f t="shared" si="25"/>
        <v>0</v>
      </c>
      <c r="H438" s="1">
        <f t="shared" si="26"/>
        <v>3.4200000000000001E-2</v>
      </c>
      <c r="I438" s="1">
        <f t="shared" si="27"/>
        <v>3.4200000000000001E-2</v>
      </c>
    </row>
    <row r="439" spans="1:9" x14ac:dyDescent="0.5">
      <c r="A439" t="s">
        <v>437</v>
      </c>
      <c r="B439" s="1">
        <v>3.213444E-2</v>
      </c>
      <c r="C439" s="1">
        <v>3.2134439814974498E-2</v>
      </c>
      <c r="D439" s="1">
        <v>3.2134439814974498E-2</v>
      </c>
      <c r="E439" s="1">
        <v>3.2134439814974498E-2</v>
      </c>
      <c r="F439" s="1">
        <f t="shared" si="24"/>
        <v>3.2134439861230872E-2</v>
      </c>
      <c r="G439" s="1">
        <f t="shared" si="25"/>
        <v>9.2512750932138869E-11</v>
      </c>
      <c r="H439" s="1">
        <f t="shared" si="26"/>
        <v>3.2134439583692623E-2</v>
      </c>
      <c r="I439" s="1">
        <f t="shared" si="27"/>
        <v>3.2134440138769121E-2</v>
      </c>
    </row>
    <row r="440" spans="1:9" x14ac:dyDescent="0.5">
      <c r="A440" t="s">
        <v>438</v>
      </c>
      <c r="B440" s="1">
        <v>252.87652589999999</v>
      </c>
      <c r="C440" s="1">
        <v>252.87652587491499</v>
      </c>
      <c r="D440" s="1">
        <v>252.87652587491499</v>
      </c>
      <c r="E440" s="1">
        <v>252.87652587491499</v>
      </c>
      <c r="F440" s="1">
        <f t="shared" si="24"/>
        <v>252.87652588118624</v>
      </c>
      <c r="G440" s="1">
        <f t="shared" si="25"/>
        <v>1.2542500371637288E-8</v>
      </c>
      <c r="H440" s="1">
        <f t="shared" si="26"/>
        <v>252.87652584355874</v>
      </c>
      <c r="I440" s="1">
        <f t="shared" si="27"/>
        <v>252.87652591881374</v>
      </c>
    </row>
    <row r="441" spans="1:9" x14ac:dyDescent="0.5">
      <c r="A441" t="s">
        <v>439</v>
      </c>
      <c r="B441" s="1">
        <v>0.62525046399999995</v>
      </c>
      <c r="C441" s="1">
        <v>0.62525046380238902</v>
      </c>
      <c r="D441" s="1">
        <v>0.62525046380238902</v>
      </c>
      <c r="E441" s="1">
        <v>0.62525046380238902</v>
      </c>
      <c r="F441" s="1">
        <f t="shared" si="24"/>
        <v>0.62525046385179173</v>
      </c>
      <c r="G441" s="1">
        <f t="shared" si="25"/>
        <v>9.8805463810696858E-11</v>
      </c>
      <c r="H441" s="1">
        <f t="shared" si="26"/>
        <v>0.62525046355537528</v>
      </c>
      <c r="I441" s="1">
        <f t="shared" si="27"/>
        <v>0.62525046414820817</v>
      </c>
    </row>
    <row r="442" spans="1:9" x14ac:dyDescent="0.5">
      <c r="A442" t="s">
        <v>440</v>
      </c>
      <c r="B442" s="1">
        <v>252.82165119999999</v>
      </c>
      <c r="C442" s="1">
        <v>252.82165116271</v>
      </c>
      <c r="D442" s="1">
        <v>252.82165116271</v>
      </c>
      <c r="E442" s="1">
        <v>252.82165116271</v>
      </c>
      <c r="F442" s="1">
        <f t="shared" si="24"/>
        <v>252.82165117203249</v>
      </c>
      <c r="G442" s="1">
        <f t="shared" si="25"/>
        <v>1.8644996657714712E-8</v>
      </c>
      <c r="H442" s="1">
        <f t="shared" si="26"/>
        <v>252.82165111609748</v>
      </c>
      <c r="I442" s="1">
        <f t="shared" si="27"/>
        <v>252.82165122796749</v>
      </c>
    </row>
    <row r="443" spans="1:9" x14ac:dyDescent="0.5">
      <c r="A443" t="s">
        <v>441</v>
      </c>
      <c r="B443" s="1">
        <v>5.6300626649999996</v>
      </c>
      <c r="C443" s="1">
        <v>5.6300626651984604</v>
      </c>
      <c r="D443" s="1">
        <v>5.6300626651984604</v>
      </c>
      <c r="E443" s="1">
        <v>5.6300626651984604</v>
      </c>
      <c r="F443" s="1">
        <f t="shared" si="24"/>
        <v>5.630062665148845</v>
      </c>
      <c r="G443" s="1">
        <f t="shared" si="25"/>
        <v>9.9230401673698188E-11</v>
      </c>
      <c r="H443" s="1">
        <f t="shared" si="26"/>
        <v>5.6300626648511543</v>
      </c>
      <c r="I443" s="1">
        <f t="shared" si="27"/>
        <v>5.6300626654465358</v>
      </c>
    </row>
    <row r="444" spans="1:9" x14ac:dyDescent="0.5">
      <c r="A444" t="s">
        <v>442</v>
      </c>
      <c r="B444" s="1">
        <v>4570.4675440000001</v>
      </c>
      <c r="C444" s="1">
        <v>1874.4815826416</v>
      </c>
      <c r="D444" s="1">
        <v>4869.7989940643301</v>
      </c>
      <c r="E444" s="1">
        <v>4181.71298503875</v>
      </c>
      <c r="F444" s="1">
        <f t="shared" si="24"/>
        <v>3874.11527643617</v>
      </c>
      <c r="G444" s="1">
        <f t="shared" si="25"/>
        <v>1362.5275294817836</v>
      </c>
      <c r="H444" s="1">
        <v>0</v>
      </c>
      <c r="I444" s="1">
        <v>100000000</v>
      </c>
    </row>
    <row r="445" spans="1:9" x14ac:dyDescent="0.5">
      <c r="A445" t="s">
        <v>443</v>
      </c>
      <c r="B445" s="1">
        <v>961.43738929999995</v>
      </c>
      <c r="C445" s="1">
        <v>234.09407687985299</v>
      </c>
      <c r="D445" s="1">
        <v>159.537206724946</v>
      </c>
      <c r="E445" s="1">
        <v>372.40567284019897</v>
      </c>
      <c r="F445" s="1">
        <f t="shared" si="24"/>
        <v>431.86858643624947</v>
      </c>
      <c r="G445" s="1">
        <f t="shared" si="25"/>
        <v>363.89471557288499</v>
      </c>
      <c r="H445" s="1">
        <v>0</v>
      </c>
      <c r="I445" s="1">
        <v>100000000</v>
      </c>
    </row>
    <row r="446" spans="1:9" x14ac:dyDescent="0.5">
      <c r="A446" t="s">
        <v>444</v>
      </c>
      <c r="B446" s="1">
        <v>928.91009699999995</v>
      </c>
      <c r="C446" s="1">
        <v>928.91010600000004</v>
      </c>
      <c r="D446" s="1">
        <v>928.91009699999995</v>
      </c>
      <c r="E446" s="1">
        <v>928.91009699999995</v>
      </c>
      <c r="F446" s="1">
        <f t="shared" si="24"/>
        <v>928.91009925000003</v>
      </c>
      <c r="G446" s="1">
        <f t="shared" si="25"/>
        <v>4.500000045482011E-6</v>
      </c>
      <c r="H446" s="1">
        <f t="shared" si="26"/>
        <v>928.91008574999989</v>
      </c>
      <c r="I446" s="1">
        <f t="shared" si="27"/>
        <v>928.91011275000017</v>
      </c>
    </row>
    <row r="447" spans="1:9" x14ac:dyDescent="0.5">
      <c r="A447" t="s">
        <v>445</v>
      </c>
      <c r="B447" s="1">
        <v>4.0197652049999997</v>
      </c>
      <c r="C447" s="1">
        <v>4.0197661790988004</v>
      </c>
      <c r="D447" s="1">
        <v>4.0197652051389303</v>
      </c>
      <c r="E447" s="1">
        <v>4.0197652051389303</v>
      </c>
      <c r="F447" s="1">
        <f t="shared" si="24"/>
        <v>4.0197654485941658</v>
      </c>
      <c r="G447" s="1">
        <f t="shared" si="25"/>
        <v>4.870030945549662E-7</v>
      </c>
      <c r="H447" s="1">
        <f t="shared" si="26"/>
        <v>4.0197639875848825</v>
      </c>
      <c r="I447" s="1">
        <f t="shared" si="27"/>
        <v>4.0197669096034492</v>
      </c>
    </row>
    <row r="448" spans="1:9" x14ac:dyDescent="0.5">
      <c r="A448" t="s">
        <v>446</v>
      </c>
      <c r="B448" s="1">
        <v>928.91020000000003</v>
      </c>
      <c r="C448" s="1">
        <v>928.91020000000003</v>
      </c>
      <c r="D448" s="1">
        <v>928.91020000000003</v>
      </c>
      <c r="E448" s="1">
        <v>928.91020000000003</v>
      </c>
      <c r="F448" s="1">
        <f t="shared" si="24"/>
        <v>928.91020000000003</v>
      </c>
      <c r="G448" s="1">
        <f t="shared" si="25"/>
        <v>0</v>
      </c>
      <c r="H448" s="1">
        <f t="shared" si="26"/>
        <v>928.91020000000003</v>
      </c>
      <c r="I448" s="1">
        <f t="shared" si="27"/>
        <v>928.91020000000003</v>
      </c>
    </row>
    <row r="449" spans="1:9" x14ac:dyDescent="0.5">
      <c r="A449" t="s">
        <v>447</v>
      </c>
      <c r="B449" s="1">
        <v>4.019698988</v>
      </c>
      <c r="C449" s="1">
        <v>4.01969898817757</v>
      </c>
      <c r="D449" s="1">
        <v>4.01969898817757</v>
      </c>
      <c r="E449" s="1">
        <v>4.01969898817757</v>
      </c>
      <c r="F449" s="1">
        <f t="shared" si="24"/>
        <v>4.0196989881331771</v>
      </c>
      <c r="G449" s="1">
        <f t="shared" si="25"/>
        <v>8.8784979369964466E-11</v>
      </c>
      <c r="H449" s="1">
        <f t="shared" si="26"/>
        <v>4.0196989878668221</v>
      </c>
      <c r="I449" s="1">
        <f t="shared" si="27"/>
        <v>4.019698988399532</v>
      </c>
    </row>
    <row r="450" spans="1:9" x14ac:dyDescent="0.5">
      <c r="A450" t="s">
        <v>448</v>
      </c>
      <c r="B450" s="1">
        <v>942.08730000000003</v>
      </c>
      <c r="C450" s="1">
        <v>942.08730000000003</v>
      </c>
      <c r="D450" s="1">
        <v>942.08730000000003</v>
      </c>
      <c r="E450" s="1">
        <v>942.08730000000003</v>
      </c>
      <c r="F450" s="1">
        <f t="shared" si="24"/>
        <v>942.08730000000003</v>
      </c>
      <c r="G450" s="1">
        <f t="shared" si="25"/>
        <v>0</v>
      </c>
      <c r="H450" s="1">
        <f t="shared" si="26"/>
        <v>942.08730000000003</v>
      </c>
      <c r="I450" s="1">
        <f t="shared" si="27"/>
        <v>942.08730000000003</v>
      </c>
    </row>
    <row r="451" spans="1:9" x14ac:dyDescent="0.5">
      <c r="A451" t="s">
        <v>449</v>
      </c>
      <c r="B451" s="1">
        <v>4.0412425770000002</v>
      </c>
      <c r="C451" s="1">
        <v>4.0412425770629801</v>
      </c>
      <c r="D451" s="1">
        <v>4.0412425770629801</v>
      </c>
      <c r="E451" s="1">
        <v>4.0412425770629801</v>
      </c>
      <c r="F451" s="1">
        <f t="shared" ref="F451:F514" si="28">AVERAGE(B451:E451)</f>
        <v>4.0412425770472353</v>
      </c>
      <c r="G451" s="1">
        <f t="shared" ref="G451:G514" si="29">_xlfn.STDEV.S(B451:E451)</f>
        <v>3.1489921782301889E-11</v>
      </c>
      <c r="H451" s="1">
        <f t="shared" ref="H451:H514" si="30">F451-3*G451</f>
        <v>4.0412425769527651</v>
      </c>
      <c r="I451" s="1">
        <f t="shared" ref="I451:I514" si="31">F451+3*G451</f>
        <v>4.0412425771417055</v>
      </c>
    </row>
    <row r="452" spans="1:9" x14ac:dyDescent="0.5">
      <c r="A452" t="s">
        <v>450</v>
      </c>
      <c r="B452" s="1">
        <v>1887.4407000000001</v>
      </c>
      <c r="C452" s="1">
        <v>1887.4407000000001</v>
      </c>
      <c r="D452" s="1">
        <v>1887.4407000000001</v>
      </c>
      <c r="E452" s="1">
        <v>1887.4407000000001</v>
      </c>
      <c r="F452" s="1">
        <f t="shared" si="28"/>
        <v>1887.4407000000001</v>
      </c>
      <c r="G452" s="1">
        <f t="shared" si="29"/>
        <v>0</v>
      </c>
      <c r="H452" s="1">
        <f t="shared" si="30"/>
        <v>1887.4407000000001</v>
      </c>
      <c r="I452" s="1">
        <f t="shared" si="31"/>
        <v>1887.4407000000001</v>
      </c>
    </row>
    <row r="453" spans="1:9" x14ac:dyDescent="0.5">
      <c r="A453" t="s">
        <v>451</v>
      </c>
      <c r="B453" s="1">
        <v>146.66285690000001</v>
      </c>
      <c r="C453" s="1">
        <v>146.662856893738</v>
      </c>
      <c r="D453" s="1">
        <v>146.662856893738</v>
      </c>
      <c r="E453" s="1">
        <v>146.662856893738</v>
      </c>
      <c r="F453" s="1">
        <f t="shared" si="28"/>
        <v>146.66285689530349</v>
      </c>
      <c r="G453" s="1">
        <f t="shared" si="29"/>
        <v>3.1310065651376315E-9</v>
      </c>
      <c r="H453" s="1">
        <f t="shared" si="30"/>
        <v>146.66285688591046</v>
      </c>
      <c r="I453" s="1">
        <f t="shared" si="31"/>
        <v>146.66285690469653</v>
      </c>
    </row>
    <row r="454" spans="1:9" x14ac:dyDescent="0.5">
      <c r="A454" t="s">
        <v>452</v>
      </c>
      <c r="B454" s="1">
        <v>32.433599999999998</v>
      </c>
      <c r="C454" s="1">
        <v>32.433599999999998</v>
      </c>
      <c r="D454" s="1">
        <v>32.433599999999998</v>
      </c>
      <c r="E454" s="1">
        <v>32.433599999999998</v>
      </c>
      <c r="F454" s="1">
        <f t="shared" si="28"/>
        <v>32.433599999999998</v>
      </c>
      <c r="G454" s="1">
        <f t="shared" si="29"/>
        <v>0</v>
      </c>
      <c r="H454" s="1">
        <f t="shared" si="30"/>
        <v>32.433599999999998</v>
      </c>
      <c r="I454" s="1">
        <f t="shared" si="31"/>
        <v>32.433599999999998</v>
      </c>
    </row>
    <row r="455" spans="1:9" x14ac:dyDescent="0.5">
      <c r="A455" t="s">
        <v>453</v>
      </c>
      <c r="B455" s="1">
        <v>0.42472349199999998</v>
      </c>
      <c r="C455" s="1">
        <v>0.424723491750155</v>
      </c>
      <c r="D455" s="1">
        <v>0.424723491750155</v>
      </c>
      <c r="E455" s="1">
        <v>0.424723491750155</v>
      </c>
      <c r="F455" s="1">
        <f t="shared" si="28"/>
        <v>0.42472349181261626</v>
      </c>
      <c r="G455" s="1">
        <f t="shared" si="29"/>
        <v>1.2492248901985296E-10</v>
      </c>
      <c r="H455" s="1">
        <f t="shared" si="30"/>
        <v>0.42472349143784882</v>
      </c>
      <c r="I455" s="1">
        <f t="shared" si="31"/>
        <v>0.4247234921873837</v>
      </c>
    </row>
    <row r="456" spans="1:9" x14ac:dyDescent="0.5">
      <c r="A456" t="s">
        <v>454</v>
      </c>
      <c r="B456" s="1">
        <v>-2372.7262999999998</v>
      </c>
      <c r="C456" s="1">
        <v>-2372.7262999999998</v>
      </c>
      <c r="D456" s="1">
        <v>-2372.7262999999998</v>
      </c>
      <c r="E456" s="1">
        <v>-2372.7262999999998</v>
      </c>
      <c r="F456" s="1">
        <f t="shared" si="28"/>
        <v>-2372.7262999999998</v>
      </c>
      <c r="G456" s="1">
        <f t="shared" si="29"/>
        <v>0</v>
      </c>
      <c r="H456" s="1">
        <f t="shared" si="30"/>
        <v>-2372.7262999999998</v>
      </c>
      <c r="I456" s="1">
        <f t="shared" si="31"/>
        <v>-2372.7262999999998</v>
      </c>
    </row>
    <row r="457" spans="1:9" x14ac:dyDescent="0.5">
      <c r="A457" t="s">
        <v>455</v>
      </c>
      <c r="B457" s="1">
        <v>30.370184569999999</v>
      </c>
      <c r="C457" s="1">
        <v>30.370184567726501</v>
      </c>
      <c r="D457" s="1">
        <v>30.370184567726501</v>
      </c>
      <c r="E457" s="1">
        <v>30.370184567726501</v>
      </c>
      <c r="F457" s="1">
        <f t="shared" si="28"/>
        <v>30.370184568294874</v>
      </c>
      <c r="G457" s="1">
        <f t="shared" si="29"/>
        <v>1.1367493613083831E-9</v>
      </c>
      <c r="H457" s="1">
        <f t="shared" si="30"/>
        <v>30.370184564884624</v>
      </c>
      <c r="I457" s="1">
        <f t="shared" si="31"/>
        <v>30.370184571705124</v>
      </c>
    </row>
    <row r="458" spans="1:9" x14ac:dyDescent="0.5">
      <c r="A458" t="s">
        <v>456</v>
      </c>
      <c r="B458" s="1">
        <v>3.0099999999999998E-2</v>
      </c>
      <c r="C458" s="1">
        <v>3.0099999999999998E-2</v>
      </c>
      <c r="D458" s="1">
        <v>3.0099999999999998E-2</v>
      </c>
      <c r="E458" s="1">
        <v>3.0099999999999998E-2</v>
      </c>
      <c r="F458" s="1">
        <f t="shared" si="28"/>
        <v>3.0099999999999998E-2</v>
      </c>
      <c r="G458" s="1">
        <f t="shared" si="29"/>
        <v>0</v>
      </c>
      <c r="H458" s="1">
        <f t="shared" si="30"/>
        <v>3.0099999999999998E-2</v>
      </c>
      <c r="I458" s="1">
        <f t="shared" si="31"/>
        <v>3.0099999999999998E-2</v>
      </c>
    </row>
    <row r="459" spans="1:9" x14ac:dyDescent="0.5">
      <c r="A459" t="s">
        <v>457</v>
      </c>
      <c r="B459" s="1">
        <v>4.6773689999999998E-3</v>
      </c>
      <c r="C459" s="1">
        <v>4.6773686809762002E-3</v>
      </c>
      <c r="D459" s="1">
        <v>4.6773686809762002E-3</v>
      </c>
      <c r="E459" s="1">
        <v>4.6773686809762002E-3</v>
      </c>
      <c r="F459" s="1">
        <f t="shared" si="28"/>
        <v>4.6773687607321503E-3</v>
      </c>
      <c r="G459" s="1">
        <f t="shared" si="29"/>
        <v>1.5951189978255509E-10</v>
      </c>
      <c r="H459" s="1">
        <f t="shared" si="30"/>
        <v>4.6773682821964514E-3</v>
      </c>
      <c r="I459" s="1">
        <f t="shared" si="31"/>
        <v>4.6773692392678493E-3</v>
      </c>
    </row>
    <row r="460" spans="1:9" x14ac:dyDescent="0.5">
      <c r="A460" t="s">
        <v>458</v>
      </c>
      <c r="B460" s="1">
        <v>928.90429400000005</v>
      </c>
      <c r="C460" s="1">
        <v>928.90430600000002</v>
      </c>
      <c r="D460" s="1">
        <v>928.90429400000005</v>
      </c>
      <c r="E460" s="1">
        <v>928.90429400000005</v>
      </c>
      <c r="F460" s="1">
        <f t="shared" si="28"/>
        <v>928.90429700000004</v>
      </c>
      <c r="G460" s="1">
        <f t="shared" si="29"/>
        <v>5.9999999848514562E-6</v>
      </c>
      <c r="H460" s="1">
        <f t="shared" si="30"/>
        <v>928.90427900000009</v>
      </c>
      <c r="I460" s="1">
        <f t="shared" si="31"/>
        <v>928.904315</v>
      </c>
    </row>
    <row r="461" spans="1:9" x14ac:dyDescent="0.5">
      <c r="A461" t="s">
        <v>459</v>
      </c>
      <c r="B461" s="1">
        <v>36.192527720000001</v>
      </c>
      <c r="C461" s="1">
        <v>36.192532125328498</v>
      </c>
      <c r="D461" s="1">
        <v>36.192527723374397</v>
      </c>
      <c r="E461" s="1">
        <v>36.192527723374397</v>
      </c>
      <c r="F461" s="1">
        <f t="shared" si="28"/>
        <v>36.192528823019323</v>
      </c>
      <c r="G461" s="1">
        <f t="shared" si="29"/>
        <v>2.2015400243810521E-6</v>
      </c>
      <c r="H461" s="1">
        <f t="shared" si="30"/>
        <v>36.192522218399247</v>
      </c>
      <c r="I461" s="1">
        <f t="shared" si="31"/>
        <v>36.192535427639399</v>
      </c>
    </row>
    <row r="462" spans="1:9" x14ac:dyDescent="0.5">
      <c r="A462" t="s">
        <v>460</v>
      </c>
      <c r="B462" s="1">
        <v>928.90430000000003</v>
      </c>
      <c r="C462" s="1">
        <v>928.90430000000003</v>
      </c>
      <c r="D462" s="1">
        <v>928.90430000000003</v>
      </c>
      <c r="E462" s="1">
        <v>928.90430000000003</v>
      </c>
      <c r="F462" s="1">
        <f t="shared" si="28"/>
        <v>928.90430000000003</v>
      </c>
      <c r="G462" s="1">
        <f t="shared" si="29"/>
        <v>0</v>
      </c>
      <c r="H462" s="1">
        <f t="shared" si="30"/>
        <v>928.90430000000003</v>
      </c>
      <c r="I462" s="1">
        <f t="shared" si="31"/>
        <v>928.90430000000003</v>
      </c>
    </row>
    <row r="463" spans="1:9" x14ac:dyDescent="0.5">
      <c r="A463" t="s">
        <v>461</v>
      </c>
      <c r="B463" s="1">
        <v>36.192533930000003</v>
      </c>
      <c r="C463" s="1">
        <v>36.192533929435399</v>
      </c>
      <c r="D463" s="1">
        <v>36.192533929435399</v>
      </c>
      <c r="E463" s="1">
        <v>36.192533929435399</v>
      </c>
      <c r="F463" s="1">
        <f t="shared" si="28"/>
        <v>36.192533929576548</v>
      </c>
      <c r="G463" s="1">
        <f t="shared" si="29"/>
        <v>2.8230218163861831E-10</v>
      </c>
      <c r="H463" s="1">
        <f t="shared" si="30"/>
        <v>36.192533928729645</v>
      </c>
      <c r="I463" s="1">
        <f t="shared" si="31"/>
        <v>36.192533930423451</v>
      </c>
    </row>
    <row r="464" spans="1:9" x14ac:dyDescent="0.5">
      <c r="A464" t="s">
        <v>462</v>
      </c>
      <c r="B464" s="1">
        <v>941.44989999999996</v>
      </c>
      <c r="C464" s="1">
        <v>941.44989999999996</v>
      </c>
      <c r="D464" s="1">
        <v>941.44989999999996</v>
      </c>
      <c r="E464" s="1">
        <v>941.44989999999996</v>
      </c>
      <c r="F464" s="1">
        <f t="shared" si="28"/>
        <v>941.44989999999996</v>
      </c>
      <c r="G464" s="1">
        <f t="shared" si="29"/>
        <v>0</v>
      </c>
      <c r="H464" s="1">
        <f t="shared" si="30"/>
        <v>941.44989999999996</v>
      </c>
      <c r="I464" s="1">
        <f t="shared" si="31"/>
        <v>941.44989999999996</v>
      </c>
    </row>
    <row r="465" spans="1:9" x14ac:dyDescent="0.5">
      <c r="A465" t="s">
        <v>463</v>
      </c>
      <c r="B465" s="1">
        <v>36.528171370000003</v>
      </c>
      <c r="C465" s="1">
        <v>36.528171373308197</v>
      </c>
      <c r="D465" s="1">
        <v>36.528171373308197</v>
      </c>
      <c r="E465" s="1">
        <v>36.528171373308197</v>
      </c>
      <c r="F465" s="1">
        <f t="shared" si="28"/>
        <v>36.528171372481147</v>
      </c>
      <c r="G465" s="1">
        <f t="shared" si="29"/>
        <v>1.6540973035729606E-9</v>
      </c>
      <c r="H465" s="1">
        <f t="shared" si="30"/>
        <v>36.528171367518851</v>
      </c>
      <c r="I465" s="1">
        <f t="shared" si="31"/>
        <v>36.528171377443442</v>
      </c>
    </row>
    <row r="466" spans="1:9" x14ac:dyDescent="0.5">
      <c r="A466" t="s">
        <v>464</v>
      </c>
      <c r="B466" s="1">
        <v>1887.3226</v>
      </c>
      <c r="C466" s="1">
        <v>1887.3226999999999</v>
      </c>
      <c r="D466" s="1">
        <v>1887.3226</v>
      </c>
      <c r="E466" s="1">
        <v>1887.3226</v>
      </c>
      <c r="F466" s="1">
        <f t="shared" si="28"/>
        <v>1887.3226249999998</v>
      </c>
      <c r="G466" s="1">
        <f t="shared" si="29"/>
        <v>4.9999999987448973E-5</v>
      </c>
      <c r="H466" s="1">
        <f t="shared" si="30"/>
        <v>1887.3224749999999</v>
      </c>
      <c r="I466" s="1">
        <f t="shared" si="31"/>
        <v>1887.3227749999996</v>
      </c>
    </row>
    <row r="467" spans="1:9" x14ac:dyDescent="0.5">
      <c r="A467" t="s">
        <v>465</v>
      </c>
      <c r="B467" s="1">
        <v>1320.1888530000001</v>
      </c>
      <c r="C467" s="1">
        <v>1320.1889927642901</v>
      </c>
      <c r="D467" s="1">
        <v>1320.1888533221399</v>
      </c>
      <c r="E467" s="1">
        <v>1320.1888533221399</v>
      </c>
      <c r="F467" s="1">
        <f t="shared" si="28"/>
        <v>1320.1888881021425</v>
      </c>
      <c r="G467" s="1">
        <f t="shared" si="29"/>
        <v>6.9774930304272812E-5</v>
      </c>
      <c r="H467" s="1">
        <f t="shared" si="30"/>
        <v>1320.1886787773517</v>
      </c>
      <c r="I467" s="1">
        <f t="shared" si="31"/>
        <v>1320.1890974269334</v>
      </c>
    </row>
    <row r="468" spans="1:9" x14ac:dyDescent="0.5">
      <c r="A468" t="s">
        <v>466</v>
      </c>
      <c r="B468" s="1">
        <v>32.4315</v>
      </c>
      <c r="C468" s="1">
        <v>32.4315</v>
      </c>
      <c r="D468" s="1">
        <v>32.4315</v>
      </c>
      <c r="E468" s="1">
        <v>32.4315</v>
      </c>
      <c r="F468" s="1">
        <f t="shared" si="28"/>
        <v>32.4315</v>
      </c>
      <c r="G468" s="1">
        <f t="shared" si="29"/>
        <v>0</v>
      </c>
      <c r="H468" s="1">
        <f t="shared" si="30"/>
        <v>32.4315</v>
      </c>
      <c r="I468" s="1">
        <f t="shared" si="31"/>
        <v>32.4315</v>
      </c>
    </row>
    <row r="469" spans="1:9" x14ac:dyDescent="0.5">
      <c r="A469" t="s">
        <v>467</v>
      </c>
      <c r="B469" s="1">
        <v>1.2629376029999999</v>
      </c>
      <c r="C469" s="1">
        <v>1.2629376029277399</v>
      </c>
      <c r="D469" s="1">
        <v>1.2629376029277399</v>
      </c>
      <c r="E469" s="1">
        <v>1.2629376029277399</v>
      </c>
      <c r="F469" s="1">
        <f t="shared" si="28"/>
        <v>1.2629376029458048</v>
      </c>
      <c r="G469" s="1">
        <f t="shared" si="29"/>
        <v>3.6129987890603905E-11</v>
      </c>
      <c r="H469" s="1">
        <f t="shared" si="30"/>
        <v>1.2629376028374149</v>
      </c>
      <c r="I469" s="1">
        <f t="shared" si="31"/>
        <v>1.2629376030541948</v>
      </c>
    </row>
    <row r="470" spans="1:9" x14ac:dyDescent="0.5">
      <c r="A470" t="s">
        <v>468</v>
      </c>
      <c r="B470" s="1">
        <v>-2409.9490000000001</v>
      </c>
      <c r="C470" s="1">
        <v>-2409.9490000000001</v>
      </c>
      <c r="D470" s="1">
        <v>-2409.9490000000001</v>
      </c>
      <c r="E470" s="1">
        <v>-2409.9490000000001</v>
      </c>
      <c r="F470" s="1">
        <f t="shared" si="28"/>
        <v>-2409.9490000000001</v>
      </c>
      <c r="G470" s="1">
        <f t="shared" si="29"/>
        <v>0</v>
      </c>
      <c r="H470" s="1">
        <f t="shared" si="30"/>
        <v>-2409.9490000000001</v>
      </c>
      <c r="I470" s="1">
        <f t="shared" si="31"/>
        <v>-2409.9490000000001</v>
      </c>
    </row>
    <row r="471" spans="1:9" x14ac:dyDescent="0.5">
      <c r="A471" t="s">
        <v>469</v>
      </c>
      <c r="B471" s="1">
        <v>295.18193880000001</v>
      </c>
      <c r="C471" s="1">
        <v>295.18193879293398</v>
      </c>
      <c r="D471" s="1">
        <v>295.18193879293398</v>
      </c>
      <c r="E471" s="1">
        <v>295.18193879293398</v>
      </c>
      <c r="F471" s="1">
        <f t="shared" si="28"/>
        <v>295.1819387947005</v>
      </c>
      <c r="G471" s="1">
        <f t="shared" si="29"/>
        <v>3.5330174342033379E-9</v>
      </c>
      <c r="H471" s="1">
        <f t="shared" si="30"/>
        <v>295.18193878410148</v>
      </c>
      <c r="I471" s="1">
        <f t="shared" si="31"/>
        <v>295.18193880529952</v>
      </c>
    </row>
    <row r="472" spans="1:9" x14ac:dyDescent="0.5">
      <c r="A472" t="s">
        <v>470</v>
      </c>
      <c r="B472" s="1">
        <v>5.8400000000000001E-2</v>
      </c>
      <c r="C472" s="1">
        <v>5.8399999999999903E-2</v>
      </c>
      <c r="D472" s="1">
        <v>5.8399999999999903E-2</v>
      </c>
      <c r="E472" s="1">
        <v>5.8399999999999903E-2</v>
      </c>
      <c r="F472" s="1">
        <f t="shared" si="28"/>
        <v>5.8399999999999924E-2</v>
      </c>
      <c r="G472" s="1">
        <f t="shared" si="29"/>
        <v>4.8737189066231459E-17</v>
      </c>
      <c r="H472" s="1">
        <f t="shared" si="30"/>
        <v>5.8399999999999778E-2</v>
      </c>
      <c r="I472" s="1">
        <f t="shared" si="31"/>
        <v>5.840000000000007E-2</v>
      </c>
    </row>
    <row r="473" spans="1:9" x14ac:dyDescent="0.5">
      <c r="A473" t="s">
        <v>471</v>
      </c>
      <c r="B473" s="1">
        <v>6.2120313000000003E-2</v>
      </c>
      <c r="C473" s="1">
        <v>6.21203133711778E-2</v>
      </c>
      <c r="D473" s="1">
        <v>6.21203133711778E-2</v>
      </c>
      <c r="E473" s="1">
        <v>6.21203133711778E-2</v>
      </c>
      <c r="F473" s="1">
        <f t="shared" si="28"/>
        <v>6.2120313278383348E-2</v>
      </c>
      <c r="G473" s="1">
        <f t="shared" si="29"/>
        <v>1.8558889841591158E-10</v>
      </c>
      <c r="H473" s="1">
        <f t="shared" si="30"/>
        <v>6.2120312721616652E-2</v>
      </c>
      <c r="I473" s="1">
        <f t="shared" si="31"/>
        <v>6.2120313835150043E-2</v>
      </c>
    </row>
    <row r="474" spans="1:9" x14ac:dyDescent="0.5">
      <c r="A474" t="s">
        <v>472</v>
      </c>
      <c r="B474" s="1">
        <v>162.1096565</v>
      </c>
      <c r="C474" s="1">
        <v>162.10965650391799</v>
      </c>
      <c r="D474" s="1">
        <v>162.10965650391799</v>
      </c>
      <c r="E474" s="1">
        <v>162.10965650391799</v>
      </c>
      <c r="F474" s="1">
        <f t="shared" si="28"/>
        <v>162.10965650293849</v>
      </c>
      <c r="G474" s="1">
        <f t="shared" si="29"/>
        <v>1.9589947442000266E-9</v>
      </c>
      <c r="H474" s="1">
        <f t="shared" si="30"/>
        <v>162.10965649706151</v>
      </c>
      <c r="I474" s="1">
        <f t="shared" si="31"/>
        <v>162.10965650881548</v>
      </c>
    </row>
    <row r="475" spans="1:9" x14ac:dyDescent="0.5">
      <c r="A475" t="s">
        <v>473</v>
      </c>
      <c r="B475" s="1">
        <v>0.69539674900000004</v>
      </c>
      <c r="C475" s="1">
        <v>0.69539674934231899</v>
      </c>
      <c r="D475" s="1">
        <v>0.69539674934231899</v>
      </c>
      <c r="E475" s="1">
        <v>0.69539674934231899</v>
      </c>
      <c r="F475" s="1">
        <f t="shared" si="28"/>
        <v>0.69539674925673922</v>
      </c>
      <c r="G475" s="1">
        <f t="shared" si="29"/>
        <v>1.7115947548163335E-10</v>
      </c>
      <c r="H475" s="1">
        <f t="shared" si="30"/>
        <v>0.69539674874326085</v>
      </c>
      <c r="I475" s="1">
        <f t="shared" si="31"/>
        <v>0.69539674977021759</v>
      </c>
    </row>
    <row r="476" spans="1:9" x14ac:dyDescent="0.5">
      <c r="A476" t="s">
        <v>474</v>
      </c>
      <c r="B476" s="1">
        <v>161.99997590000001</v>
      </c>
      <c r="C476" s="1">
        <v>161.99997590950201</v>
      </c>
      <c r="D476" s="1">
        <v>161.99997590950201</v>
      </c>
      <c r="E476" s="1">
        <v>161.99997590950201</v>
      </c>
      <c r="F476" s="1">
        <f t="shared" si="28"/>
        <v>161.99997590712653</v>
      </c>
      <c r="G476" s="1">
        <f t="shared" si="29"/>
        <v>4.7510013701241018E-9</v>
      </c>
      <c r="H476" s="1">
        <f t="shared" si="30"/>
        <v>161.99997589287352</v>
      </c>
      <c r="I476" s="1">
        <f t="shared" si="31"/>
        <v>161.99997592137953</v>
      </c>
    </row>
    <row r="477" spans="1:9" x14ac:dyDescent="0.5">
      <c r="A477" t="s">
        <v>475</v>
      </c>
      <c r="B477" s="1">
        <v>6.2855844830000001</v>
      </c>
      <c r="C477" s="1">
        <v>6.2855844825031202</v>
      </c>
      <c r="D477" s="1">
        <v>6.2855844825031202</v>
      </c>
      <c r="E477" s="1">
        <v>6.2855844825031202</v>
      </c>
      <c r="F477" s="1">
        <f t="shared" si="28"/>
        <v>6.285584482627339</v>
      </c>
      <c r="G477" s="1">
        <f t="shared" si="29"/>
        <v>2.4843993529419701E-10</v>
      </c>
      <c r="H477" s="1">
        <f t="shared" si="30"/>
        <v>6.2855844818820188</v>
      </c>
      <c r="I477" s="1">
        <f t="shared" si="31"/>
        <v>6.2855844833726593</v>
      </c>
    </row>
    <row r="478" spans="1:9" x14ac:dyDescent="0.5">
      <c r="A478" t="s">
        <v>476</v>
      </c>
      <c r="B478" s="1">
        <v>40756.058689999998</v>
      </c>
      <c r="C478" s="1">
        <v>23382.668161392201</v>
      </c>
      <c r="D478" s="1">
        <v>221861.257243156</v>
      </c>
      <c r="E478" s="1">
        <v>73021.506237983704</v>
      </c>
      <c r="F478" s="1">
        <f t="shared" si="28"/>
        <v>89755.372583132979</v>
      </c>
      <c r="G478" s="1">
        <f t="shared" si="29"/>
        <v>90440.138026796776</v>
      </c>
      <c r="H478" s="1">
        <v>0</v>
      </c>
      <c r="I478" s="1">
        <v>100000000</v>
      </c>
    </row>
    <row r="479" spans="1:9" x14ac:dyDescent="0.5">
      <c r="A479" t="s">
        <v>477</v>
      </c>
      <c r="B479" s="1">
        <v>14788.37557</v>
      </c>
      <c r="C479" s="1">
        <v>866.38805247536698</v>
      </c>
      <c r="D479" s="1">
        <v>10864.448263067799</v>
      </c>
      <c r="E479" s="1">
        <v>19013.8668604222</v>
      </c>
      <c r="F479" s="1">
        <f t="shared" si="28"/>
        <v>11383.269686491341</v>
      </c>
      <c r="G479" s="1">
        <f t="shared" si="29"/>
        <v>7760.9005981267546</v>
      </c>
      <c r="H479" s="1">
        <v>0</v>
      </c>
      <c r="I479" s="1">
        <v>100000000</v>
      </c>
    </row>
    <row r="480" spans="1:9" x14ac:dyDescent="0.5">
      <c r="A480" t="s">
        <v>478</v>
      </c>
      <c r="B480" s="1">
        <v>-4.1225459999999998</v>
      </c>
      <c r="C480" s="1">
        <v>-4.1225440000000004</v>
      </c>
      <c r="D480" s="1">
        <v>-4.1225420000000002</v>
      </c>
      <c r="E480" s="1">
        <v>-4.1225459999999998</v>
      </c>
      <c r="F480" s="1">
        <f t="shared" si="28"/>
        <v>-4.1225445000000001</v>
      </c>
      <c r="G480" s="1">
        <f t="shared" si="29"/>
        <v>1.9148542153164948E-6</v>
      </c>
      <c r="H480" s="1">
        <f t="shared" si="30"/>
        <v>-4.1225502445626461</v>
      </c>
      <c r="I480" s="1">
        <f t="shared" si="31"/>
        <v>-4.122538755437354</v>
      </c>
    </row>
    <row r="481" spans="1:9" x14ac:dyDescent="0.5">
      <c r="A481" t="s">
        <v>479</v>
      </c>
      <c r="B481" s="1">
        <v>3.501172602</v>
      </c>
      <c r="C481" s="1">
        <v>3.50117292059611</v>
      </c>
      <c r="D481" s="1">
        <v>3.50117498026591</v>
      </c>
      <c r="E481" s="1">
        <v>3.50117260222977</v>
      </c>
      <c r="F481" s="1">
        <f t="shared" si="28"/>
        <v>3.5011732762729477</v>
      </c>
      <c r="G481" s="1">
        <f t="shared" si="29"/>
        <v>1.1458732102447003E-6</v>
      </c>
      <c r="H481" s="1">
        <f t="shared" si="30"/>
        <v>3.501169838653317</v>
      </c>
      <c r="I481" s="1">
        <f t="shared" si="31"/>
        <v>3.5011767138925785</v>
      </c>
    </row>
    <row r="482" spans="1:9" x14ac:dyDescent="0.5">
      <c r="A482" t="s">
        <v>480</v>
      </c>
      <c r="B482" s="1">
        <v>120.7162</v>
      </c>
      <c r="C482" s="1">
        <v>120.7162</v>
      </c>
      <c r="D482" s="1">
        <v>120.7162</v>
      </c>
      <c r="E482" s="1">
        <v>120.7162</v>
      </c>
      <c r="F482" s="1">
        <f t="shared" si="28"/>
        <v>120.7162</v>
      </c>
      <c r="G482" s="1">
        <f t="shared" si="29"/>
        <v>0</v>
      </c>
      <c r="H482" s="1">
        <f t="shared" si="30"/>
        <v>120.7162</v>
      </c>
      <c r="I482" s="1">
        <f t="shared" si="31"/>
        <v>120.7162</v>
      </c>
    </row>
    <row r="483" spans="1:9" x14ac:dyDescent="0.5">
      <c r="A483" t="s">
        <v>481</v>
      </c>
      <c r="B483" s="1">
        <v>1.5074181609999999</v>
      </c>
      <c r="C483" s="1">
        <v>1.5074181606678001</v>
      </c>
      <c r="D483" s="1">
        <v>1.5074181606678001</v>
      </c>
      <c r="E483" s="1">
        <v>1.5074181606678001</v>
      </c>
      <c r="F483" s="1">
        <f t="shared" si="28"/>
        <v>1.5074181607508501</v>
      </c>
      <c r="G483" s="1">
        <f t="shared" si="29"/>
        <v>1.6609991160266974E-10</v>
      </c>
      <c r="H483" s="1">
        <f t="shared" si="30"/>
        <v>1.5074181602525503</v>
      </c>
      <c r="I483" s="1">
        <f t="shared" si="31"/>
        <v>1.50741816124915</v>
      </c>
    </row>
    <row r="484" spans="1:9" x14ac:dyDescent="0.5">
      <c r="A484" t="s">
        <v>482</v>
      </c>
      <c r="B484" s="1">
        <v>156.7336</v>
      </c>
      <c r="C484" s="1">
        <v>156.7336</v>
      </c>
      <c r="D484" s="1">
        <v>156.7336</v>
      </c>
      <c r="E484" s="1">
        <v>156.7336</v>
      </c>
      <c r="F484" s="1">
        <f t="shared" si="28"/>
        <v>156.7336</v>
      </c>
      <c r="G484" s="1">
        <f t="shared" si="29"/>
        <v>0</v>
      </c>
      <c r="H484" s="1">
        <f t="shared" si="30"/>
        <v>156.7336</v>
      </c>
      <c r="I484" s="1">
        <f t="shared" si="31"/>
        <v>156.7336</v>
      </c>
    </row>
    <row r="485" spans="1:9" x14ac:dyDescent="0.5">
      <c r="A485" t="s">
        <v>483</v>
      </c>
      <c r="B485" s="1">
        <v>1.595658499</v>
      </c>
      <c r="C485" s="1">
        <v>1.5956584986908799</v>
      </c>
      <c r="D485" s="1">
        <v>1.5956584986908799</v>
      </c>
      <c r="E485" s="1">
        <v>1.5956584986908799</v>
      </c>
      <c r="F485" s="1">
        <f t="shared" si="28"/>
        <v>1.5956584987681599</v>
      </c>
      <c r="G485" s="1">
        <f t="shared" si="29"/>
        <v>1.5456003144011184E-10</v>
      </c>
      <c r="H485" s="1">
        <f t="shared" si="30"/>
        <v>1.5956584983044797</v>
      </c>
      <c r="I485" s="1">
        <f t="shared" si="31"/>
        <v>1.5956584992318401</v>
      </c>
    </row>
    <row r="486" spans="1:9" x14ac:dyDescent="0.5">
      <c r="A486" t="s">
        <v>484</v>
      </c>
      <c r="B486" s="1">
        <v>269.04149999999998</v>
      </c>
      <c r="C486" s="1">
        <v>269.04149999999998</v>
      </c>
      <c r="D486" s="1">
        <v>269.04149999999998</v>
      </c>
      <c r="E486" s="1">
        <v>269.04149999999998</v>
      </c>
      <c r="F486" s="1">
        <f t="shared" si="28"/>
        <v>269.04149999999998</v>
      </c>
      <c r="G486" s="1">
        <f t="shared" si="29"/>
        <v>0</v>
      </c>
      <c r="H486" s="1">
        <f t="shared" si="30"/>
        <v>269.04149999999998</v>
      </c>
      <c r="I486" s="1">
        <f t="shared" si="31"/>
        <v>269.04149999999998</v>
      </c>
    </row>
    <row r="487" spans="1:9" x14ac:dyDescent="0.5">
      <c r="A487" t="s">
        <v>485</v>
      </c>
      <c r="B487" s="1">
        <v>24.031767110000001</v>
      </c>
      <c r="C487" s="1">
        <v>24.031767106847902</v>
      </c>
      <c r="D487" s="1">
        <v>24.031767106847902</v>
      </c>
      <c r="E487" s="1">
        <v>24.031767106847902</v>
      </c>
      <c r="F487" s="1">
        <f t="shared" si="28"/>
        <v>24.031767107635922</v>
      </c>
      <c r="G487" s="1">
        <f t="shared" si="29"/>
        <v>1.5760495131273021E-9</v>
      </c>
      <c r="H487" s="1">
        <f t="shared" si="30"/>
        <v>24.031767102907772</v>
      </c>
      <c r="I487" s="1">
        <f t="shared" si="31"/>
        <v>24.031767112364072</v>
      </c>
    </row>
    <row r="488" spans="1:9" x14ac:dyDescent="0.5">
      <c r="A488" t="s">
        <v>486</v>
      </c>
      <c r="B488" s="1">
        <v>4.2142999999999997</v>
      </c>
      <c r="C488" s="1">
        <v>4.2142999999999997</v>
      </c>
      <c r="D488" s="1">
        <v>4.2142999999999997</v>
      </c>
      <c r="E488" s="1">
        <v>4.2142999999999997</v>
      </c>
      <c r="F488" s="1">
        <f t="shared" si="28"/>
        <v>4.2142999999999997</v>
      </c>
      <c r="G488" s="1">
        <f t="shared" si="29"/>
        <v>0</v>
      </c>
      <c r="H488" s="1">
        <f t="shared" si="30"/>
        <v>4.2142999999999997</v>
      </c>
      <c r="I488" s="1">
        <f t="shared" si="31"/>
        <v>4.2142999999999997</v>
      </c>
    </row>
    <row r="489" spans="1:9" x14ac:dyDescent="0.5">
      <c r="A489" t="s">
        <v>487</v>
      </c>
      <c r="B489" s="1">
        <v>1.9270300000000001E-2</v>
      </c>
      <c r="C489" s="1">
        <v>1.9270299542156699E-2</v>
      </c>
      <c r="D489" s="1">
        <v>1.9270299542156699E-2</v>
      </c>
      <c r="E489" s="1">
        <v>1.9270299542156699E-2</v>
      </c>
      <c r="F489" s="1">
        <f t="shared" si="28"/>
        <v>1.9270299656617525E-2</v>
      </c>
      <c r="G489" s="1">
        <f t="shared" si="29"/>
        <v>2.2892165073284951E-10</v>
      </c>
      <c r="H489" s="1">
        <f t="shared" si="30"/>
        <v>1.9270298969852571E-2</v>
      </c>
      <c r="I489" s="1">
        <f t="shared" si="31"/>
        <v>1.9270300343382479E-2</v>
      </c>
    </row>
    <row r="490" spans="1:9" x14ac:dyDescent="0.5">
      <c r="A490" t="s">
        <v>488</v>
      </c>
      <c r="B490" s="1">
        <v>-311.34679999999997</v>
      </c>
      <c r="C490" s="1">
        <v>-311.34679999999997</v>
      </c>
      <c r="D490" s="1">
        <v>-311.34679999999997</v>
      </c>
      <c r="E490" s="1">
        <v>-311.34679999999997</v>
      </c>
      <c r="F490" s="1">
        <f t="shared" si="28"/>
        <v>-311.34679999999997</v>
      </c>
      <c r="G490" s="1">
        <f t="shared" si="29"/>
        <v>0</v>
      </c>
      <c r="H490" s="1">
        <f t="shared" si="30"/>
        <v>-311.34679999999997</v>
      </c>
      <c r="I490" s="1">
        <f t="shared" si="31"/>
        <v>-311.34679999999997</v>
      </c>
    </row>
    <row r="491" spans="1:9" x14ac:dyDescent="0.5">
      <c r="A491" t="s">
        <v>489</v>
      </c>
      <c r="B491" s="1">
        <v>2.4956901870000001</v>
      </c>
      <c r="C491" s="1">
        <v>2.49569018732516</v>
      </c>
      <c r="D491" s="1">
        <v>2.49569018732516</v>
      </c>
      <c r="E491" s="1">
        <v>2.49569018732516</v>
      </c>
      <c r="F491" s="1">
        <f t="shared" si="28"/>
        <v>2.4956901872438699</v>
      </c>
      <c r="G491" s="1">
        <f t="shared" si="29"/>
        <v>1.6257994950313383E-10</v>
      </c>
      <c r="H491" s="1">
        <f t="shared" si="30"/>
        <v>2.4956901867561303</v>
      </c>
      <c r="I491" s="1">
        <f t="shared" si="31"/>
        <v>2.4956901877316096</v>
      </c>
    </row>
    <row r="492" spans="1:9" x14ac:dyDescent="0.5">
      <c r="A492" t="s">
        <v>490</v>
      </c>
      <c r="B492" s="1">
        <v>0.15809999999999999</v>
      </c>
      <c r="C492" s="1">
        <v>0.15809999999999999</v>
      </c>
      <c r="D492" s="1">
        <v>0.15809999999999999</v>
      </c>
      <c r="E492" s="1">
        <v>0.15809999999999999</v>
      </c>
      <c r="F492" s="1">
        <f t="shared" si="28"/>
        <v>0.15809999999999999</v>
      </c>
      <c r="G492" s="1">
        <f t="shared" si="29"/>
        <v>0</v>
      </c>
      <c r="H492" s="1">
        <f t="shared" si="30"/>
        <v>0.15809999999999999</v>
      </c>
      <c r="I492" s="1">
        <f t="shared" si="31"/>
        <v>0.15809999999999999</v>
      </c>
    </row>
    <row r="493" spans="1:9" x14ac:dyDescent="0.5">
      <c r="A493" t="s">
        <v>491</v>
      </c>
      <c r="B493" s="1">
        <v>1.4317432999999999E-2</v>
      </c>
      <c r="C493" s="1">
        <v>1.4317433041187501E-2</v>
      </c>
      <c r="D493" s="1">
        <v>1.4317433041187501E-2</v>
      </c>
      <c r="E493" s="1">
        <v>1.4317433041187501E-2</v>
      </c>
      <c r="F493" s="1">
        <f t="shared" si="28"/>
        <v>1.4317433030890626E-2</v>
      </c>
      <c r="G493" s="1">
        <f t="shared" si="29"/>
        <v>2.0593750663100456E-11</v>
      </c>
      <c r="H493" s="1">
        <f t="shared" si="30"/>
        <v>1.4317432969109374E-2</v>
      </c>
      <c r="I493" s="1">
        <f t="shared" si="31"/>
        <v>1.4317433092671878E-2</v>
      </c>
    </row>
    <row r="494" spans="1:9" x14ac:dyDescent="0.5">
      <c r="A494" t="s">
        <v>492</v>
      </c>
      <c r="B494" s="1">
        <v>-4.1300600000000003</v>
      </c>
      <c r="C494" s="1">
        <v>-4.1300559999999997</v>
      </c>
      <c r="D494" s="1">
        <v>-4.1300559999999997</v>
      </c>
      <c r="E494" s="1">
        <v>-4.1300600000000003</v>
      </c>
      <c r="F494" s="1">
        <f t="shared" si="28"/>
        <v>-4.130058</v>
      </c>
      <c r="G494" s="1">
        <f t="shared" si="29"/>
        <v>2.3094010770813065E-6</v>
      </c>
      <c r="H494" s="1">
        <f t="shared" si="30"/>
        <v>-4.1300649282032316</v>
      </c>
      <c r="I494" s="1">
        <f t="shared" si="31"/>
        <v>-4.1300510717967684</v>
      </c>
    </row>
    <row r="495" spans="1:9" x14ac:dyDescent="0.5">
      <c r="A495" t="s">
        <v>493</v>
      </c>
      <c r="B495" s="1">
        <v>41.800662029999998</v>
      </c>
      <c r="C495" s="1">
        <v>41.800664001513198</v>
      </c>
      <c r="D495" s="1">
        <v>41.800665411707399</v>
      </c>
      <c r="E495" s="1">
        <v>41.800662029029802</v>
      </c>
      <c r="F495" s="1">
        <f t="shared" si="28"/>
        <v>41.800663368062601</v>
      </c>
      <c r="G495" s="1">
        <f t="shared" si="29"/>
        <v>1.6493598846426272E-6</v>
      </c>
      <c r="H495" s="1">
        <f t="shared" si="30"/>
        <v>41.800658419982945</v>
      </c>
      <c r="I495" s="1">
        <f t="shared" si="31"/>
        <v>41.800668316142257</v>
      </c>
    </row>
    <row r="496" spans="1:9" x14ac:dyDescent="0.5">
      <c r="A496" t="s">
        <v>494</v>
      </c>
      <c r="B496" s="1">
        <v>121.599</v>
      </c>
      <c r="C496" s="1">
        <v>121.599</v>
      </c>
      <c r="D496" s="1">
        <v>121.599</v>
      </c>
      <c r="E496" s="1">
        <v>121.599</v>
      </c>
      <c r="F496" s="1">
        <f t="shared" si="28"/>
        <v>121.599</v>
      </c>
      <c r="G496" s="1">
        <f t="shared" si="29"/>
        <v>0</v>
      </c>
      <c r="H496" s="1">
        <f t="shared" si="30"/>
        <v>121.599</v>
      </c>
      <c r="I496" s="1">
        <f t="shared" si="31"/>
        <v>121.599</v>
      </c>
    </row>
    <row r="497" spans="1:9" x14ac:dyDescent="0.5">
      <c r="A497" t="s">
        <v>495</v>
      </c>
      <c r="B497" s="1">
        <v>12.993499890000001</v>
      </c>
      <c r="C497" s="1">
        <v>12.993499887764299</v>
      </c>
      <c r="D497" s="1">
        <v>12.993499887764299</v>
      </c>
      <c r="E497" s="1">
        <v>12.993499887764299</v>
      </c>
      <c r="F497" s="1">
        <f t="shared" si="28"/>
        <v>12.993499888323225</v>
      </c>
      <c r="G497" s="1">
        <f t="shared" si="29"/>
        <v>1.1178507008935412E-9</v>
      </c>
      <c r="H497" s="1">
        <f t="shared" si="30"/>
        <v>12.993499884969673</v>
      </c>
      <c r="I497" s="1">
        <f t="shared" si="31"/>
        <v>12.993499891676777</v>
      </c>
    </row>
    <row r="498" spans="1:9" x14ac:dyDescent="0.5">
      <c r="A498" t="s">
        <v>496</v>
      </c>
      <c r="B498" s="1">
        <v>157.7287</v>
      </c>
      <c r="C498" s="1">
        <v>157.7287</v>
      </c>
      <c r="D498" s="1">
        <v>157.7287</v>
      </c>
      <c r="E498" s="1">
        <v>157.7287</v>
      </c>
      <c r="F498" s="1">
        <f t="shared" si="28"/>
        <v>157.7287</v>
      </c>
      <c r="G498" s="1">
        <f t="shared" si="29"/>
        <v>0</v>
      </c>
      <c r="H498" s="1">
        <f t="shared" si="30"/>
        <v>157.7287</v>
      </c>
      <c r="I498" s="1">
        <f t="shared" si="31"/>
        <v>157.7287</v>
      </c>
    </row>
    <row r="499" spans="1:9" x14ac:dyDescent="0.5">
      <c r="A499" t="s">
        <v>497</v>
      </c>
      <c r="B499" s="1">
        <v>13.178466869999999</v>
      </c>
      <c r="C499" s="1">
        <v>13.1784668729796</v>
      </c>
      <c r="D499" s="1">
        <v>13.1784668729796</v>
      </c>
      <c r="E499" s="1">
        <v>13.1784668729796</v>
      </c>
      <c r="F499" s="1">
        <f t="shared" si="28"/>
        <v>13.178466872234699</v>
      </c>
      <c r="G499" s="1">
        <f t="shared" si="29"/>
        <v>1.4898002831390733E-9</v>
      </c>
      <c r="H499" s="1">
        <f t="shared" si="30"/>
        <v>13.178466867765298</v>
      </c>
      <c r="I499" s="1">
        <f t="shared" si="31"/>
        <v>13.1784668767041</v>
      </c>
    </row>
    <row r="500" spans="1:9" x14ac:dyDescent="0.5">
      <c r="A500" t="s">
        <v>498</v>
      </c>
      <c r="B500" s="1">
        <v>270.7285</v>
      </c>
      <c r="C500" s="1">
        <v>270.72840000000002</v>
      </c>
      <c r="D500" s="1">
        <v>270.7285</v>
      </c>
      <c r="E500" s="1">
        <v>270.7285</v>
      </c>
      <c r="F500" s="1">
        <f t="shared" si="28"/>
        <v>270.728475</v>
      </c>
      <c r="G500" s="1">
        <f t="shared" si="29"/>
        <v>4.999999998744898E-5</v>
      </c>
      <c r="H500" s="1">
        <f t="shared" si="30"/>
        <v>270.72832500000004</v>
      </c>
      <c r="I500" s="1">
        <f t="shared" si="31"/>
        <v>270.72862499999997</v>
      </c>
    </row>
    <row r="501" spans="1:9" x14ac:dyDescent="0.5">
      <c r="A501" t="s">
        <v>499</v>
      </c>
      <c r="B501" s="1">
        <v>214.65002920000001</v>
      </c>
      <c r="C501" s="1">
        <v>214.64977945802201</v>
      </c>
      <c r="D501" s="1">
        <v>214.65002916750501</v>
      </c>
      <c r="E501" s="1">
        <v>214.65002916750501</v>
      </c>
      <c r="F501" s="1">
        <f t="shared" si="28"/>
        <v>214.64996674825801</v>
      </c>
      <c r="G501" s="1">
        <f t="shared" si="29"/>
        <v>1.2486015827243183E-4</v>
      </c>
      <c r="H501" s="1">
        <f t="shared" si="30"/>
        <v>214.6495921677832</v>
      </c>
      <c r="I501" s="1">
        <f t="shared" si="31"/>
        <v>214.65034132873282</v>
      </c>
    </row>
    <row r="502" spans="1:9" x14ac:dyDescent="0.5">
      <c r="A502" t="s">
        <v>500</v>
      </c>
      <c r="B502" s="1">
        <v>4.2499000000000002</v>
      </c>
      <c r="C502" s="1">
        <v>4.2499000000000002</v>
      </c>
      <c r="D502" s="1">
        <v>4.2499000000000002</v>
      </c>
      <c r="E502" s="1">
        <v>4.2499000000000002</v>
      </c>
      <c r="F502" s="1">
        <f t="shared" si="28"/>
        <v>4.2499000000000002</v>
      </c>
      <c r="G502" s="1">
        <f t="shared" si="29"/>
        <v>0</v>
      </c>
      <c r="H502" s="1">
        <f t="shared" si="30"/>
        <v>4.2499000000000002</v>
      </c>
      <c r="I502" s="1">
        <f t="shared" si="31"/>
        <v>4.2499000000000002</v>
      </c>
    </row>
    <row r="503" spans="1:9" x14ac:dyDescent="0.5">
      <c r="A503" t="s">
        <v>501</v>
      </c>
      <c r="B503" s="1">
        <v>0.49490525499999999</v>
      </c>
      <c r="C503" s="1">
        <v>0.49490525468124802</v>
      </c>
      <c r="D503" s="1">
        <v>0.49490525468124802</v>
      </c>
      <c r="E503" s="1">
        <v>0.49490525468124802</v>
      </c>
      <c r="F503" s="1">
        <f t="shared" si="28"/>
        <v>0.494905254760936</v>
      </c>
      <c r="G503" s="1">
        <f t="shared" si="29"/>
        <v>1.5937598463189398E-10</v>
      </c>
      <c r="H503" s="1">
        <f t="shared" si="30"/>
        <v>0.49490525428280807</v>
      </c>
      <c r="I503" s="1">
        <f t="shared" si="31"/>
        <v>0.49490525523906392</v>
      </c>
    </row>
    <row r="504" spans="1:9" x14ac:dyDescent="0.5">
      <c r="A504" t="s">
        <v>502</v>
      </c>
      <c r="B504" s="1">
        <v>-317.44549999999998</v>
      </c>
      <c r="C504" s="1">
        <v>-317.44549999999998</v>
      </c>
      <c r="D504" s="1">
        <v>-317.44549999999998</v>
      </c>
      <c r="E504" s="1">
        <v>-317.44549999999998</v>
      </c>
      <c r="F504" s="1">
        <f t="shared" si="28"/>
        <v>-317.44549999999998</v>
      </c>
      <c r="G504" s="1">
        <f t="shared" si="29"/>
        <v>0</v>
      </c>
      <c r="H504" s="1">
        <f t="shared" si="30"/>
        <v>-317.44549999999998</v>
      </c>
      <c r="I504" s="1">
        <f t="shared" si="31"/>
        <v>-317.44549999999998</v>
      </c>
    </row>
    <row r="505" spans="1:9" x14ac:dyDescent="0.5">
      <c r="A505" t="s">
        <v>503</v>
      </c>
      <c r="B505" s="1">
        <v>22.035511339999999</v>
      </c>
      <c r="C505" s="1">
        <v>22.0355113358717</v>
      </c>
      <c r="D505" s="1">
        <v>22.0355113358717</v>
      </c>
      <c r="E505" s="1">
        <v>22.0355113358717</v>
      </c>
      <c r="F505" s="1">
        <f t="shared" si="28"/>
        <v>22.035511336903777</v>
      </c>
      <c r="G505" s="1">
        <f t="shared" si="29"/>
        <v>2.0641497400242962E-9</v>
      </c>
      <c r="H505" s="1">
        <f t="shared" si="30"/>
        <v>22.03551133071133</v>
      </c>
      <c r="I505" s="1">
        <f t="shared" si="31"/>
        <v>22.035511343096225</v>
      </c>
    </row>
    <row r="506" spans="1:9" x14ac:dyDescent="0.5">
      <c r="A506" t="s">
        <v>504</v>
      </c>
      <c r="B506" s="1">
        <v>0.30249999999999999</v>
      </c>
      <c r="C506" s="1">
        <v>0.30249999999999999</v>
      </c>
      <c r="D506" s="1">
        <v>0.30249999999999999</v>
      </c>
      <c r="E506" s="1">
        <v>0.30249999999999999</v>
      </c>
      <c r="F506" s="1">
        <f t="shared" si="28"/>
        <v>0.30249999999999999</v>
      </c>
      <c r="G506" s="1">
        <f t="shared" si="29"/>
        <v>0</v>
      </c>
      <c r="H506" s="1">
        <f t="shared" si="30"/>
        <v>0.30249999999999999</v>
      </c>
      <c r="I506" s="1">
        <f t="shared" si="31"/>
        <v>0.30249999999999999</v>
      </c>
    </row>
    <row r="507" spans="1:9" x14ac:dyDescent="0.5">
      <c r="A507" t="s">
        <v>505</v>
      </c>
      <c r="B507" s="1">
        <v>0.14488635399999999</v>
      </c>
      <c r="C507" s="1">
        <v>0.14488635393147101</v>
      </c>
      <c r="D507" s="1">
        <v>0.14488635393147101</v>
      </c>
      <c r="E507" s="1">
        <v>0.14488635393147101</v>
      </c>
      <c r="F507" s="1">
        <f t="shared" si="28"/>
        <v>0.14488635394860325</v>
      </c>
      <c r="G507" s="1">
        <f t="shared" si="29"/>
        <v>3.4264494019887564E-11</v>
      </c>
      <c r="H507" s="1">
        <f t="shared" si="30"/>
        <v>0.14488635384580978</v>
      </c>
      <c r="I507" s="1">
        <f t="shared" si="31"/>
        <v>0.14488635405139672</v>
      </c>
    </row>
    <row r="508" spans="1:9" x14ac:dyDescent="0.5">
      <c r="A508" t="s">
        <v>506</v>
      </c>
      <c r="B508" s="1">
        <v>26.969931620000001</v>
      </c>
      <c r="C508" s="1">
        <v>26.969931617401599</v>
      </c>
      <c r="D508" s="1">
        <v>26.969931617401599</v>
      </c>
      <c r="E508" s="1">
        <v>26.969931617401599</v>
      </c>
      <c r="F508" s="1">
        <f t="shared" si="28"/>
        <v>26.969931618051199</v>
      </c>
      <c r="G508" s="1">
        <f t="shared" si="29"/>
        <v>1.2992007469851569E-9</v>
      </c>
      <c r="H508" s="1">
        <f t="shared" si="30"/>
        <v>26.969931614153595</v>
      </c>
      <c r="I508" s="1">
        <f t="shared" si="31"/>
        <v>26.969931621948803</v>
      </c>
    </row>
    <row r="509" spans="1:9" x14ac:dyDescent="0.5">
      <c r="A509" t="s">
        <v>507</v>
      </c>
      <c r="B509" s="1">
        <v>0.27457291</v>
      </c>
      <c r="C509" s="1">
        <v>0.274572909665947</v>
      </c>
      <c r="D509" s="1">
        <v>0.274572909665947</v>
      </c>
      <c r="E509" s="1">
        <v>0.274572909665947</v>
      </c>
      <c r="F509" s="1">
        <f t="shared" si="28"/>
        <v>0.27457290974946025</v>
      </c>
      <c r="G509" s="1">
        <f t="shared" si="29"/>
        <v>1.6702650373900951E-10</v>
      </c>
      <c r="H509" s="1">
        <f t="shared" si="30"/>
        <v>0.27457290924838074</v>
      </c>
      <c r="I509" s="1">
        <f t="shared" si="31"/>
        <v>0.27457291025053976</v>
      </c>
    </row>
    <row r="510" spans="1:9" x14ac:dyDescent="0.5">
      <c r="A510" t="s">
        <v>508</v>
      </c>
      <c r="B510" s="1">
        <v>27.141163429999999</v>
      </c>
      <c r="C510" s="1">
        <v>27.141163433377699</v>
      </c>
      <c r="D510" s="1">
        <v>27.141163433377699</v>
      </c>
      <c r="E510" s="1">
        <v>27.141163433377699</v>
      </c>
      <c r="F510" s="1">
        <f t="shared" si="28"/>
        <v>27.141163432533276</v>
      </c>
      <c r="G510" s="1">
        <f t="shared" si="29"/>
        <v>1.6888499487789611E-9</v>
      </c>
      <c r="H510" s="1">
        <f t="shared" si="30"/>
        <v>27.141163427466726</v>
      </c>
      <c r="I510" s="1">
        <f t="shared" si="31"/>
        <v>27.141163437599825</v>
      </c>
    </row>
    <row r="511" spans="1:9" x14ac:dyDescent="0.5">
      <c r="A511" t="s">
        <v>509</v>
      </c>
      <c r="B511" s="1">
        <v>2.2676844680000001</v>
      </c>
      <c r="C511" s="1">
        <v>2.2676844683364199</v>
      </c>
      <c r="D511" s="1">
        <v>2.2676844683364199</v>
      </c>
      <c r="E511" s="1">
        <v>2.2676844683364199</v>
      </c>
      <c r="F511" s="1">
        <f t="shared" si="28"/>
        <v>2.2676844682523147</v>
      </c>
      <c r="G511" s="1">
        <f t="shared" si="29"/>
        <v>1.6820989046115289E-10</v>
      </c>
      <c r="H511" s="1">
        <f t="shared" si="30"/>
        <v>2.2676844677476851</v>
      </c>
      <c r="I511" s="1">
        <f t="shared" si="31"/>
        <v>2.2676844687569444</v>
      </c>
    </row>
    <row r="512" spans="1:9" x14ac:dyDescent="0.5">
      <c r="A512" t="s">
        <v>510</v>
      </c>
      <c r="B512" s="1">
        <v>573.81150720000005</v>
      </c>
      <c r="C512" s="1">
        <v>694.67759132385197</v>
      </c>
      <c r="D512" s="1">
        <v>1119.4347381591699</v>
      </c>
      <c r="E512" s="1">
        <v>616.46823883056595</v>
      </c>
      <c r="F512" s="1">
        <f t="shared" si="28"/>
        <v>751.09801887839706</v>
      </c>
      <c r="G512" s="1">
        <f t="shared" si="29"/>
        <v>250.60652313589239</v>
      </c>
      <c r="H512" s="1">
        <v>0</v>
      </c>
      <c r="I512" s="1">
        <v>100000000</v>
      </c>
    </row>
    <row r="513" spans="1:9" x14ac:dyDescent="0.5">
      <c r="A513" t="s">
        <v>511</v>
      </c>
      <c r="B513" s="1">
        <v>720.70562949999999</v>
      </c>
      <c r="C513" s="1">
        <v>299.18244734853897</v>
      </c>
      <c r="D513" s="1">
        <v>1881.93849895019</v>
      </c>
      <c r="E513" s="1">
        <v>429.46220094653302</v>
      </c>
      <c r="F513" s="1">
        <f t="shared" si="28"/>
        <v>832.82219418631553</v>
      </c>
      <c r="G513" s="1">
        <f t="shared" si="29"/>
        <v>721.26874523299841</v>
      </c>
      <c r="H513" s="1">
        <v>0</v>
      </c>
      <c r="I513" s="1">
        <v>100000000</v>
      </c>
    </row>
    <row r="514" spans="1:9" x14ac:dyDescent="0.5">
      <c r="A514" t="s">
        <v>512</v>
      </c>
      <c r="B514" s="1">
        <v>-3.5399999999999999E-4</v>
      </c>
      <c r="C514" s="1">
        <v>-3.5399999999999999E-4</v>
      </c>
      <c r="D514" s="1">
        <v>-3.5399999999999999E-4</v>
      </c>
      <c r="E514" s="1">
        <v>-2.6999999999999901E-5</v>
      </c>
      <c r="F514" s="1">
        <f t="shared" si="28"/>
        <v>-2.7224999999999998E-4</v>
      </c>
      <c r="G514" s="1">
        <f t="shared" si="29"/>
        <v>1.6350000000000004E-4</v>
      </c>
      <c r="H514" s="1">
        <f t="shared" si="30"/>
        <v>-7.6275000000000019E-4</v>
      </c>
      <c r="I514" s="1">
        <f t="shared" si="31"/>
        <v>2.1825000000000018E-4</v>
      </c>
    </row>
    <row r="515" spans="1:9" x14ac:dyDescent="0.5">
      <c r="A515" t="s">
        <v>513</v>
      </c>
      <c r="B515" s="1">
        <v>9.6371E-4</v>
      </c>
      <c r="C515" s="1">
        <v>9.6371042215889996E-4</v>
      </c>
      <c r="D515" s="1">
        <v>9.6371042215889996E-4</v>
      </c>
      <c r="E515" s="1">
        <v>4.4947005832790001E-4</v>
      </c>
      <c r="F515" s="1">
        <f t="shared" ref="F515:F578" si="32">AVERAGE(B515:E515)</f>
        <v>8.3515022566142487E-4</v>
      </c>
      <c r="G515" s="1">
        <f t="shared" ref="G515:G578" si="33">_xlfn.STDEV.S(B515:E515)</f>
        <v>2.5712011155576035E-4</v>
      </c>
      <c r="H515" s="1">
        <f t="shared" ref="H515:H578" si="34">F515-3*G515</f>
        <v>6.3789890994143776E-5</v>
      </c>
      <c r="I515" s="1">
        <f t="shared" ref="I515:I578" si="35">F515+3*G515</f>
        <v>1.606510560328706E-3</v>
      </c>
    </row>
    <row r="516" spans="1:9" x14ac:dyDescent="0.5">
      <c r="A516" t="s">
        <v>514</v>
      </c>
      <c r="B516" s="1">
        <v>40.117899999999999</v>
      </c>
      <c r="C516" s="1">
        <v>40.117899999999999</v>
      </c>
      <c r="D516" s="1">
        <v>40.117899999999999</v>
      </c>
      <c r="E516" s="1">
        <v>36.894399999999997</v>
      </c>
      <c r="F516" s="1">
        <f t="shared" si="32"/>
        <v>39.312024999999998</v>
      </c>
      <c r="G516" s="1">
        <f t="shared" si="33"/>
        <v>1.6117500000000007</v>
      </c>
      <c r="H516" s="1">
        <f t="shared" si="34"/>
        <v>34.476774999999996</v>
      </c>
      <c r="I516" s="1">
        <f t="shared" si="35"/>
        <v>44.147275</v>
      </c>
    </row>
    <row r="517" spans="1:9" x14ac:dyDescent="0.5">
      <c r="A517" t="s">
        <v>515</v>
      </c>
      <c r="B517" s="1">
        <v>5.9818363479999999</v>
      </c>
      <c r="C517" s="1">
        <v>5.9818363484802797</v>
      </c>
      <c r="D517" s="1">
        <v>5.9818363484802797</v>
      </c>
      <c r="E517" s="1">
        <v>5.8156785063214098</v>
      </c>
      <c r="F517" s="1">
        <f t="shared" si="32"/>
        <v>5.9402968878204927</v>
      </c>
      <c r="G517" s="1">
        <f t="shared" si="33"/>
        <v>8.3078920999388295E-2</v>
      </c>
      <c r="H517" s="1">
        <f t="shared" si="34"/>
        <v>5.6910601248223278</v>
      </c>
      <c r="I517" s="1">
        <f t="shared" si="35"/>
        <v>6.1895336508186576</v>
      </c>
    </row>
    <row r="518" spans="1:9" x14ac:dyDescent="0.5">
      <c r="A518" t="s">
        <v>516</v>
      </c>
      <c r="B518" s="1">
        <v>52.882599999999996</v>
      </c>
      <c r="C518" s="1">
        <v>52.882599999999897</v>
      </c>
      <c r="D518" s="1">
        <v>52.882599999999897</v>
      </c>
      <c r="E518" s="1">
        <v>49.807200000000002</v>
      </c>
      <c r="F518" s="1">
        <f t="shared" si="32"/>
        <v>52.113749999999946</v>
      </c>
      <c r="G518" s="1">
        <f t="shared" si="33"/>
        <v>1.5376999999999643</v>
      </c>
      <c r="H518" s="1">
        <f t="shared" si="34"/>
        <v>47.50065000000005</v>
      </c>
      <c r="I518" s="1">
        <f t="shared" si="35"/>
        <v>56.726849999999843</v>
      </c>
    </row>
    <row r="519" spans="1:9" x14ac:dyDescent="0.5">
      <c r="A519" t="s">
        <v>517</v>
      </c>
      <c r="B519" s="1">
        <v>7.9270884830000004</v>
      </c>
      <c r="C519" s="1">
        <v>7.9270884833097499</v>
      </c>
      <c r="D519" s="1">
        <v>7.9270884833097499</v>
      </c>
      <c r="E519" s="1">
        <v>8.01795361534211</v>
      </c>
      <c r="F519" s="1">
        <f t="shared" si="32"/>
        <v>7.949804766240403</v>
      </c>
      <c r="G519" s="1">
        <f t="shared" si="33"/>
        <v>4.5432566067804991E-2</v>
      </c>
      <c r="H519" s="1">
        <f t="shared" si="34"/>
        <v>7.813507068036988</v>
      </c>
      <c r="I519" s="1">
        <f t="shared" si="35"/>
        <v>8.0861024644438189</v>
      </c>
    </row>
    <row r="520" spans="1:9" x14ac:dyDescent="0.5">
      <c r="A520" t="s">
        <v>518</v>
      </c>
      <c r="B520" s="1">
        <v>69.123000000000005</v>
      </c>
      <c r="C520" s="1">
        <v>69.123000000000005</v>
      </c>
      <c r="D520" s="1">
        <v>69.123000000000005</v>
      </c>
      <c r="E520" s="1">
        <v>67.607699999999994</v>
      </c>
      <c r="F520" s="1">
        <f t="shared" si="32"/>
        <v>68.744175000000013</v>
      </c>
      <c r="G520" s="1">
        <f t="shared" si="33"/>
        <v>0.75765000000000526</v>
      </c>
      <c r="H520" s="1">
        <f t="shared" si="34"/>
        <v>66.471225000000004</v>
      </c>
      <c r="I520" s="1">
        <f t="shared" si="35"/>
        <v>71.017125000000021</v>
      </c>
    </row>
    <row r="521" spans="1:9" x14ac:dyDescent="0.5">
      <c r="A521" t="s">
        <v>519</v>
      </c>
      <c r="B521" s="1">
        <v>25.05892141</v>
      </c>
      <c r="C521" s="1">
        <v>25.058921405359801</v>
      </c>
      <c r="D521" s="1">
        <v>25.058921405359801</v>
      </c>
      <c r="E521" s="1">
        <v>26.8445988196674</v>
      </c>
      <c r="F521" s="1">
        <f t="shared" si="32"/>
        <v>25.50534076009675</v>
      </c>
      <c r="G521" s="1">
        <f t="shared" si="33"/>
        <v>0.89283870638043317</v>
      </c>
      <c r="H521" s="1">
        <f t="shared" si="34"/>
        <v>22.826824640955451</v>
      </c>
      <c r="I521" s="1">
        <f t="shared" si="35"/>
        <v>28.18385687923805</v>
      </c>
    </row>
    <row r="522" spans="1:9" x14ac:dyDescent="0.5">
      <c r="A522" t="s">
        <v>520</v>
      </c>
      <c r="B522" s="1">
        <v>1.3997999999999999</v>
      </c>
      <c r="C522" s="1">
        <v>1.3997999999999899</v>
      </c>
      <c r="D522" s="1">
        <v>1.3997999999999899</v>
      </c>
      <c r="E522" s="1">
        <v>1.2869999999999999</v>
      </c>
      <c r="F522" s="1">
        <f t="shared" si="32"/>
        <v>1.371599999999995</v>
      </c>
      <c r="G522" s="1">
        <f t="shared" si="33"/>
        <v>5.6399999999996682E-2</v>
      </c>
      <c r="H522" s="1">
        <f t="shared" si="34"/>
        <v>1.202400000000005</v>
      </c>
      <c r="I522" s="1">
        <f t="shared" si="35"/>
        <v>1.5407999999999851</v>
      </c>
    </row>
    <row r="523" spans="1:9" x14ac:dyDescent="0.5">
      <c r="A523" t="s">
        <v>521</v>
      </c>
      <c r="B523" s="1">
        <v>0.20147169600000001</v>
      </c>
      <c r="C523" s="1">
        <v>0.20147169638548301</v>
      </c>
      <c r="D523" s="1">
        <v>0.20147169638548301</v>
      </c>
      <c r="E523" s="1">
        <v>0.19663220036967999</v>
      </c>
      <c r="F523" s="1">
        <f t="shared" si="32"/>
        <v>0.20026182228516151</v>
      </c>
      <c r="G523" s="1">
        <f t="shared" si="33"/>
        <v>2.4197479436543511E-3</v>
      </c>
      <c r="H523" s="1">
        <f t="shared" si="34"/>
        <v>0.19300257845419846</v>
      </c>
      <c r="I523" s="1">
        <f t="shared" si="35"/>
        <v>0.20752106611612456</v>
      </c>
    </row>
    <row r="524" spans="1:9" x14ac:dyDescent="0.5">
      <c r="A524" t="s">
        <v>522</v>
      </c>
      <c r="B524" s="1">
        <v>-38.715600000000002</v>
      </c>
      <c r="C524" s="1">
        <v>-38.715600000000002</v>
      </c>
      <c r="D524" s="1">
        <v>-38.715600000000002</v>
      </c>
      <c r="E524" s="1">
        <v>-30.643999999999998</v>
      </c>
      <c r="F524" s="1">
        <f t="shared" si="32"/>
        <v>-36.697700000000005</v>
      </c>
      <c r="G524" s="1">
        <f t="shared" si="33"/>
        <v>4.0358000000000018</v>
      </c>
      <c r="H524" s="1">
        <f t="shared" si="34"/>
        <v>-48.80510000000001</v>
      </c>
      <c r="I524" s="1">
        <f t="shared" si="35"/>
        <v>-24.590299999999999</v>
      </c>
    </row>
    <row r="525" spans="1:9" x14ac:dyDescent="0.5">
      <c r="A525" t="s">
        <v>523</v>
      </c>
      <c r="B525" s="1">
        <v>20.242266740000002</v>
      </c>
      <c r="C525" s="1">
        <v>20.242266738463599</v>
      </c>
      <c r="D525" s="1">
        <v>20.242266738463599</v>
      </c>
      <c r="E525" s="1">
        <v>20.5226906022469</v>
      </c>
      <c r="F525" s="1">
        <f t="shared" si="32"/>
        <v>20.312372704793525</v>
      </c>
      <c r="G525" s="1">
        <f t="shared" si="33"/>
        <v>0.14021193163558365</v>
      </c>
      <c r="H525" s="1">
        <f t="shared" si="34"/>
        <v>19.891736909886774</v>
      </c>
      <c r="I525" s="1">
        <f t="shared" si="35"/>
        <v>20.733008499700276</v>
      </c>
    </row>
    <row r="526" spans="1:9" x14ac:dyDescent="0.5">
      <c r="A526" t="s">
        <v>524</v>
      </c>
      <c r="B526" s="1">
        <v>0.87480000000000002</v>
      </c>
      <c r="C526" s="1">
        <v>0.87479999999999902</v>
      </c>
      <c r="D526" s="1">
        <v>0.87479999999999902</v>
      </c>
      <c r="E526" s="1">
        <v>0.88880000000000003</v>
      </c>
      <c r="F526" s="1">
        <f t="shared" si="32"/>
        <v>0.87829999999999964</v>
      </c>
      <c r="G526" s="1">
        <f t="shared" si="33"/>
        <v>7.0000000000003393E-3</v>
      </c>
      <c r="H526" s="1">
        <f t="shared" si="34"/>
        <v>0.85729999999999862</v>
      </c>
      <c r="I526" s="1">
        <f t="shared" si="35"/>
        <v>0.89930000000000065</v>
      </c>
    </row>
    <row r="527" spans="1:9" x14ac:dyDescent="0.5">
      <c r="A527" t="s">
        <v>525</v>
      </c>
      <c r="B527" s="1">
        <v>2.0070985E-2</v>
      </c>
      <c r="C527" s="1">
        <v>2.0070985138862601E-2</v>
      </c>
      <c r="D527" s="1">
        <v>2.0070985138862601E-2</v>
      </c>
      <c r="E527" s="1">
        <v>2.0302161899112499E-2</v>
      </c>
      <c r="F527" s="1">
        <f t="shared" si="32"/>
        <v>2.0128779294209427E-2</v>
      </c>
      <c r="G527" s="1">
        <f t="shared" si="33"/>
        <v>1.1558840326873421E-4</v>
      </c>
      <c r="H527" s="1">
        <f t="shared" si="34"/>
        <v>1.9782014084403225E-2</v>
      </c>
      <c r="I527" s="1">
        <f t="shared" si="35"/>
        <v>2.047554450401563E-2</v>
      </c>
    </row>
    <row r="528" spans="1:9" x14ac:dyDescent="0.5">
      <c r="A528" t="s">
        <v>526</v>
      </c>
      <c r="B528" s="1">
        <v>0.19470399999999999</v>
      </c>
      <c r="C528" s="1">
        <v>0.19470399999999899</v>
      </c>
      <c r="D528" s="1">
        <v>0.19470399999999899</v>
      </c>
      <c r="E528" s="1">
        <v>-0.201706</v>
      </c>
      <c r="F528" s="1">
        <f t="shared" si="32"/>
        <v>9.5601499999999492E-2</v>
      </c>
      <c r="G528" s="1">
        <f t="shared" si="33"/>
        <v>0.19820499999999963</v>
      </c>
      <c r="H528" s="1">
        <f t="shared" si="34"/>
        <v>-0.49901349999999939</v>
      </c>
      <c r="I528" s="1">
        <f t="shared" si="35"/>
        <v>0.69021649999999835</v>
      </c>
    </row>
    <row r="529" spans="1:9" x14ac:dyDescent="0.5">
      <c r="A529" t="s">
        <v>527</v>
      </c>
      <c r="B529" s="1">
        <v>3.7716189600000001</v>
      </c>
      <c r="C529" s="1">
        <v>3.7716189597283298</v>
      </c>
      <c r="D529" s="1">
        <v>3.7716189597283298</v>
      </c>
      <c r="E529" s="1">
        <v>3.2040818945533198</v>
      </c>
      <c r="F529" s="1">
        <f t="shared" si="32"/>
        <v>3.6297346935024946</v>
      </c>
      <c r="G529" s="1">
        <f t="shared" si="33"/>
        <v>0.28376853263278334</v>
      </c>
      <c r="H529" s="1">
        <f t="shared" si="34"/>
        <v>2.7784290956041446</v>
      </c>
      <c r="I529" s="1">
        <f t="shared" si="35"/>
        <v>4.4810402914008449</v>
      </c>
    </row>
    <row r="530" spans="1:9" x14ac:dyDescent="0.5">
      <c r="A530" t="s">
        <v>528</v>
      </c>
      <c r="B530" s="1">
        <v>99.331999999999994</v>
      </c>
      <c r="C530" s="1">
        <v>99.331999999999994</v>
      </c>
      <c r="D530" s="1">
        <v>99.331999999999994</v>
      </c>
      <c r="E530" s="1">
        <v>47.412777777777698</v>
      </c>
      <c r="F530" s="1">
        <f t="shared" si="32"/>
        <v>86.352194444444422</v>
      </c>
      <c r="G530" s="1">
        <f t="shared" si="33"/>
        <v>25.959611111111144</v>
      </c>
      <c r="H530" s="1">
        <f t="shared" si="34"/>
        <v>8.4733611111109894</v>
      </c>
      <c r="I530" s="1">
        <f t="shared" si="35"/>
        <v>164.23102777777785</v>
      </c>
    </row>
    <row r="531" spans="1:9" x14ac:dyDescent="0.5">
      <c r="A531" t="s">
        <v>529</v>
      </c>
      <c r="B531" s="1">
        <v>11.51588593</v>
      </c>
      <c r="C531" s="1">
        <v>11.5158859298796</v>
      </c>
      <c r="D531" s="1">
        <v>11.5158859298796</v>
      </c>
      <c r="E531" s="1">
        <v>8.6774521718327193</v>
      </c>
      <c r="F531" s="1">
        <f t="shared" si="32"/>
        <v>10.80627749039798</v>
      </c>
      <c r="G531" s="1">
        <f t="shared" si="33"/>
        <v>1.4192168790435025</v>
      </c>
      <c r="H531" s="1">
        <f t="shared" si="34"/>
        <v>6.5486268532674723</v>
      </c>
      <c r="I531" s="1">
        <f t="shared" si="35"/>
        <v>15.063928127528488</v>
      </c>
    </row>
    <row r="532" spans="1:9" x14ac:dyDescent="0.5">
      <c r="A532" t="s">
        <v>530</v>
      </c>
      <c r="B532" s="1">
        <v>119.01233329999999</v>
      </c>
      <c r="C532" s="1">
        <v>119.012333333333</v>
      </c>
      <c r="D532" s="1">
        <v>119.012333333333</v>
      </c>
      <c r="E532" s="1">
        <v>60.000888888888802</v>
      </c>
      <c r="F532" s="1">
        <f t="shared" si="32"/>
        <v>104.25947221388871</v>
      </c>
      <c r="G532" s="1">
        <f t="shared" si="33"/>
        <v>29.505722216666527</v>
      </c>
      <c r="H532" s="1">
        <f t="shared" si="34"/>
        <v>15.742305563889133</v>
      </c>
      <c r="I532" s="1">
        <f t="shared" si="35"/>
        <v>192.77663886388831</v>
      </c>
    </row>
    <row r="533" spans="1:9" x14ac:dyDescent="0.5">
      <c r="A533" t="s">
        <v>531</v>
      </c>
      <c r="B533" s="1">
        <v>12.492475710000001</v>
      </c>
      <c r="C533" s="1">
        <v>12.492475705399601</v>
      </c>
      <c r="D533" s="1">
        <v>12.492475705399601</v>
      </c>
      <c r="E533" s="1">
        <v>11.6195090843422</v>
      </c>
      <c r="F533" s="1">
        <f t="shared" si="32"/>
        <v>12.274234051285349</v>
      </c>
      <c r="G533" s="1">
        <f t="shared" si="33"/>
        <v>0.43648331129543383</v>
      </c>
      <c r="H533" s="1">
        <f t="shared" si="34"/>
        <v>10.964784117399049</v>
      </c>
      <c r="I533" s="1">
        <f t="shared" si="35"/>
        <v>13.58368398517165</v>
      </c>
    </row>
    <row r="534" spans="1:9" x14ac:dyDescent="0.5">
      <c r="A534" t="s">
        <v>532</v>
      </c>
      <c r="B534" s="1">
        <v>136.95255560000001</v>
      </c>
      <c r="C534" s="1">
        <v>136.95255555555499</v>
      </c>
      <c r="D534" s="1">
        <v>136.95255555555499</v>
      </c>
      <c r="E534" s="1">
        <v>67.326888888888803</v>
      </c>
      <c r="F534" s="1">
        <f t="shared" si="32"/>
        <v>119.5461388999997</v>
      </c>
      <c r="G534" s="1">
        <f t="shared" si="33"/>
        <v>34.812833340740561</v>
      </c>
      <c r="H534" s="1">
        <f t="shared" si="34"/>
        <v>15.107638877778015</v>
      </c>
      <c r="I534" s="1">
        <f t="shared" si="35"/>
        <v>223.98463892222139</v>
      </c>
    </row>
    <row r="535" spans="1:9" x14ac:dyDescent="0.5">
      <c r="A535" t="s">
        <v>533</v>
      </c>
      <c r="B535" s="1">
        <v>107.0011045</v>
      </c>
      <c r="C535" s="1">
        <v>107.001104509616</v>
      </c>
      <c r="D535" s="1">
        <v>107.001104509616</v>
      </c>
      <c r="E535" s="1">
        <v>31.8413376071281</v>
      </c>
      <c r="F535" s="1">
        <f t="shared" si="32"/>
        <v>88.211162781590019</v>
      </c>
      <c r="G535" s="1">
        <f t="shared" si="33"/>
        <v>37.579883449641294</v>
      </c>
      <c r="H535" s="1">
        <f t="shared" si="34"/>
        <v>-24.528487567333855</v>
      </c>
      <c r="I535" s="1">
        <f t="shared" si="35"/>
        <v>200.95081313051389</v>
      </c>
    </row>
    <row r="536" spans="1:9" x14ac:dyDescent="0.5">
      <c r="A536" t="s">
        <v>534</v>
      </c>
      <c r="B536" s="1">
        <v>3.478111111</v>
      </c>
      <c r="C536" s="1">
        <v>3.4781111111111098</v>
      </c>
      <c r="D536" s="1">
        <v>3.4781111111111098</v>
      </c>
      <c r="E536" s="1">
        <v>1.6583333333333301</v>
      </c>
      <c r="F536" s="1">
        <f t="shared" si="32"/>
        <v>3.0231666666388874</v>
      </c>
      <c r="G536" s="1">
        <f t="shared" si="33"/>
        <v>0.909888888870373</v>
      </c>
      <c r="H536" s="1">
        <f t="shared" si="34"/>
        <v>0.29350000002776833</v>
      </c>
      <c r="I536" s="1">
        <f t="shared" si="35"/>
        <v>5.7528333332500061</v>
      </c>
    </row>
    <row r="537" spans="1:9" x14ac:dyDescent="0.5">
      <c r="A537" t="s">
        <v>535</v>
      </c>
      <c r="B537" s="1">
        <v>0.43647120299999997</v>
      </c>
      <c r="C537" s="1">
        <v>0.43647120307199</v>
      </c>
      <c r="D537" s="1">
        <v>0.43647120307199</v>
      </c>
      <c r="E537" s="1">
        <v>0.30222797686514702</v>
      </c>
      <c r="F537" s="1">
        <f t="shared" si="32"/>
        <v>0.40291039650228172</v>
      </c>
      <c r="G537" s="1">
        <f t="shared" si="33"/>
        <v>6.7121613091423504E-2</v>
      </c>
      <c r="H537" s="1">
        <f t="shared" si="34"/>
        <v>0.20154555722801121</v>
      </c>
      <c r="I537" s="1">
        <f t="shared" si="35"/>
        <v>0.60427523577655218</v>
      </c>
    </row>
    <row r="538" spans="1:9" x14ac:dyDescent="0.5">
      <c r="A538" t="s">
        <v>536</v>
      </c>
      <c r="B538" s="1">
        <v>-208.34755559999999</v>
      </c>
      <c r="C538" s="1">
        <v>-208.347555555555</v>
      </c>
      <c r="D538" s="1">
        <v>-208.347555555555</v>
      </c>
      <c r="E538" s="1">
        <v>-57.196111111111101</v>
      </c>
      <c r="F538" s="1">
        <f t="shared" si="32"/>
        <v>-170.55969445555527</v>
      </c>
      <c r="G538" s="1">
        <f t="shared" si="33"/>
        <v>75.575722229629477</v>
      </c>
      <c r="H538" s="1">
        <f t="shared" si="34"/>
        <v>-397.28686114444372</v>
      </c>
      <c r="I538" s="1">
        <f t="shared" si="35"/>
        <v>56.167472233333143</v>
      </c>
    </row>
    <row r="539" spans="1:9" x14ac:dyDescent="0.5">
      <c r="A539" t="s">
        <v>537</v>
      </c>
      <c r="B539" s="1">
        <v>14.653840560000001</v>
      </c>
      <c r="C539" s="1">
        <v>14.653840564090199</v>
      </c>
      <c r="D539" s="1">
        <v>14.653840564090199</v>
      </c>
      <c r="E539" s="1">
        <v>38.679000961259398</v>
      </c>
      <c r="F539" s="1">
        <f t="shared" si="32"/>
        <v>20.660130662359947</v>
      </c>
      <c r="G539" s="1">
        <f t="shared" si="33"/>
        <v>12.012580199266303</v>
      </c>
      <c r="H539" s="1">
        <f t="shared" si="34"/>
        <v>-15.377609935438961</v>
      </c>
      <c r="I539" s="1">
        <f t="shared" si="35"/>
        <v>56.697871260158855</v>
      </c>
    </row>
    <row r="540" spans="1:9" x14ac:dyDescent="0.5">
      <c r="A540" t="s">
        <v>538</v>
      </c>
      <c r="B540" s="1">
        <v>0.40111111100000002</v>
      </c>
      <c r="C540" s="1">
        <v>0.40111111111111097</v>
      </c>
      <c r="D540" s="1">
        <v>0.40111111111111097</v>
      </c>
      <c r="E540" s="1">
        <v>0.85577777777777697</v>
      </c>
      <c r="F540" s="1">
        <f t="shared" si="32"/>
        <v>0.51477777774999978</v>
      </c>
      <c r="G540" s="1">
        <f t="shared" si="33"/>
        <v>0.2273333333518513</v>
      </c>
      <c r="H540" s="1">
        <f t="shared" si="34"/>
        <v>-0.16722222230555417</v>
      </c>
      <c r="I540" s="1">
        <f t="shared" si="35"/>
        <v>1.1967777778055537</v>
      </c>
    </row>
    <row r="541" spans="1:9" x14ac:dyDescent="0.5">
      <c r="A541" t="s">
        <v>539</v>
      </c>
      <c r="B541" s="1">
        <v>5.7197998999999999E-2</v>
      </c>
      <c r="C541" s="1">
        <v>5.7197999188005701E-2</v>
      </c>
      <c r="D541" s="1">
        <v>5.7197999188005701E-2</v>
      </c>
      <c r="E541" s="1">
        <v>6.6990256339593504E-2</v>
      </c>
      <c r="F541" s="1">
        <f t="shared" si="32"/>
        <v>5.9646063428901219E-2</v>
      </c>
      <c r="G541" s="1">
        <f t="shared" si="33"/>
        <v>4.8961286071281859E-3</v>
      </c>
      <c r="H541" s="1">
        <f t="shared" si="34"/>
        <v>4.4957677607516663E-2</v>
      </c>
      <c r="I541" s="1">
        <f t="shared" si="35"/>
        <v>7.4334449250285775E-2</v>
      </c>
    </row>
    <row r="542" spans="1:9" x14ac:dyDescent="0.5">
      <c r="A542" t="s">
        <v>540</v>
      </c>
      <c r="B542" s="1">
        <v>9.0997725169999999</v>
      </c>
      <c r="C542" s="1">
        <v>9.0997725168719494</v>
      </c>
      <c r="D542" s="1">
        <v>9.0997725168719494</v>
      </c>
      <c r="E542" s="1">
        <v>8.5705731129396892</v>
      </c>
      <c r="F542" s="1">
        <f t="shared" si="32"/>
        <v>8.9674726659208979</v>
      </c>
      <c r="G542" s="1">
        <f t="shared" si="33"/>
        <v>0.2645997019874719</v>
      </c>
      <c r="H542" s="1">
        <f t="shared" si="34"/>
        <v>8.1736735599584822</v>
      </c>
      <c r="I542" s="1">
        <f t="shared" si="35"/>
        <v>9.7612717718833135</v>
      </c>
    </row>
    <row r="543" spans="1:9" x14ac:dyDescent="0.5">
      <c r="A543" t="s">
        <v>541</v>
      </c>
      <c r="B543" s="1">
        <v>1.3640536190000001</v>
      </c>
      <c r="C543" s="1">
        <v>1.36405361913435</v>
      </c>
      <c r="D543" s="1">
        <v>1.36405361913435</v>
      </c>
      <c r="E543" s="1">
        <v>1.3796892352199801</v>
      </c>
      <c r="F543" s="1">
        <f t="shared" si="32"/>
        <v>1.3679625231221701</v>
      </c>
      <c r="G543" s="1">
        <f t="shared" si="33"/>
        <v>7.8178080652067106E-3</v>
      </c>
      <c r="H543" s="1">
        <f t="shared" si="34"/>
        <v>1.34450909892655</v>
      </c>
      <c r="I543" s="1">
        <f t="shared" si="35"/>
        <v>1.3914159473177903</v>
      </c>
    </row>
    <row r="544" spans="1:9" x14ac:dyDescent="0.5">
      <c r="A544" t="s">
        <v>542</v>
      </c>
      <c r="B544" s="1">
        <v>20.479045280000001</v>
      </c>
      <c r="C544" s="1">
        <v>20.4790452821054</v>
      </c>
      <c r="D544" s="1">
        <v>20.4790452821054</v>
      </c>
      <c r="E544" s="1">
        <v>10.3246519592266</v>
      </c>
      <c r="F544" s="1">
        <f t="shared" si="32"/>
        <v>17.94044695085935</v>
      </c>
      <c r="G544" s="1">
        <f t="shared" si="33"/>
        <v>5.0771966610885118</v>
      </c>
      <c r="H544" s="1">
        <f t="shared" si="34"/>
        <v>2.7088569675938139</v>
      </c>
      <c r="I544" s="1">
        <f t="shared" si="35"/>
        <v>33.17203693412489</v>
      </c>
    </row>
    <row r="545" spans="1:9" x14ac:dyDescent="0.5">
      <c r="A545" t="s">
        <v>543</v>
      </c>
      <c r="B545" s="1">
        <v>2.1496425499999998</v>
      </c>
      <c r="C545" s="1">
        <v>2.14964254956613</v>
      </c>
      <c r="D545" s="1">
        <v>2.14964254956613</v>
      </c>
      <c r="E545" s="1">
        <v>1.9994268327434901</v>
      </c>
      <c r="F545" s="1">
        <f t="shared" si="32"/>
        <v>2.1120886204689375</v>
      </c>
      <c r="G545" s="1">
        <f t="shared" si="33"/>
        <v>7.5107858483631579E-2</v>
      </c>
      <c r="H545" s="1">
        <f t="shared" si="34"/>
        <v>1.8867650450180429</v>
      </c>
      <c r="I545" s="1">
        <f t="shared" si="35"/>
        <v>2.3374121959198324</v>
      </c>
    </row>
    <row r="546" spans="1:9" x14ac:dyDescent="0.5">
      <c r="A546" t="s">
        <v>544</v>
      </c>
      <c r="B546" s="1">
        <v>4430.5459019999998</v>
      </c>
      <c r="C546" s="1">
        <v>3881.2788724899201</v>
      </c>
      <c r="D546" s="1">
        <v>9415.53747653961</v>
      </c>
      <c r="E546" s="1">
        <v>3956.1062574386601</v>
      </c>
      <c r="F546" s="1">
        <f t="shared" si="32"/>
        <v>5420.8671271170479</v>
      </c>
      <c r="G546" s="1">
        <f t="shared" si="33"/>
        <v>2674.1966849005876</v>
      </c>
      <c r="H546" s="1">
        <v>0</v>
      </c>
      <c r="I546" s="1">
        <v>100000000</v>
      </c>
    </row>
    <row r="547" spans="1:9" x14ac:dyDescent="0.5">
      <c r="A547" t="s">
        <v>545</v>
      </c>
      <c r="B547" s="1">
        <v>687.15109040000004</v>
      </c>
      <c r="C547" s="1">
        <v>111.823415822954</v>
      </c>
      <c r="D547" s="1">
        <v>137.678613269896</v>
      </c>
      <c r="E547" s="1">
        <v>184.86206188143399</v>
      </c>
      <c r="F547" s="1">
        <f t="shared" si="32"/>
        <v>280.37879534357103</v>
      </c>
      <c r="G547" s="1">
        <f t="shared" si="33"/>
        <v>272.8622389448264</v>
      </c>
      <c r="H547" s="1">
        <v>0</v>
      </c>
      <c r="I547" s="1">
        <v>100000000</v>
      </c>
    </row>
    <row r="548" spans="1:9" x14ac:dyDescent="0.5">
      <c r="A548" t="s">
        <v>546</v>
      </c>
      <c r="B548" s="1">
        <v>5.5760000000000002E-3</v>
      </c>
      <c r="C548" s="1">
        <v>2.3619999999999002E-3</v>
      </c>
      <c r="D548" s="1">
        <v>2.4520000000000002E-3</v>
      </c>
      <c r="E548" s="1">
        <v>5.5760000000000002E-3</v>
      </c>
      <c r="F548" s="1">
        <f t="shared" si="32"/>
        <v>3.9914999999999751E-3</v>
      </c>
      <c r="G548" s="1">
        <f t="shared" si="33"/>
        <v>1.8299918943354481E-3</v>
      </c>
      <c r="H548" s="1">
        <f t="shared" si="34"/>
        <v>-1.4984756830063693E-3</v>
      </c>
      <c r="I548" s="1">
        <f t="shared" si="35"/>
        <v>9.4814756830063195E-3</v>
      </c>
    </row>
    <row r="549" spans="1:9" x14ac:dyDescent="0.5">
      <c r="A549" t="s">
        <v>547</v>
      </c>
      <c r="B549" s="1">
        <v>4.3117210000000001E-3</v>
      </c>
      <c r="C549" s="1">
        <v>5.9941653111820004E-3</v>
      </c>
      <c r="D549" s="1">
        <v>5.4828881278228998E-3</v>
      </c>
      <c r="E549" s="1">
        <v>4.3117209763362E-3</v>
      </c>
      <c r="F549" s="1">
        <f t="shared" si="32"/>
        <v>5.0251238538352753E-3</v>
      </c>
      <c r="G549" s="1">
        <f t="shared" si="33"/>
        <v>8.4979934378266763E-4</v>
      </c>
      <c r="H549" s="1">
        <f t="shared" si="34"/>
        <v>2.4757258224872725E-3</v>
      </c>
      <c r="I549" s="1">
        <f t="shared" si="35"/>
        <v>7.5745218851832781E-3</v>
      </c>
    </row>
    <row r="550" spans="1:9" x14ac:dyDescent="0.5">
      <c r="A550" t="s">
        <v>548</v>
      </c>
      <c r="B550" s="1">
        <v>2.6848000000000001</v>
      </c>
      <c r="C550" s="1">
        <v>2.6619000000000002</v>
      </c>
      <c r="D550" s="1">
        <v>2.6827000000000001</v>
      </c>
      <c r="E550" s="1">
        <v>2.6848000000000001</v>
      </c>
      <c r="F550" s="1">
        <f t="shared" si="32"/>
        <v>2.6785500000000004</v>
      </c>
      <c r="G550" s="1">
        <f t="shared" si="33"/>
        <v>1.1144056711987748E-2</v>
      </c>
      <c r="H550" s="1">
        <f t="shared" si="34"/>
        <v>2.645117829864037</v>
      </c>
      <c r="I550" s="1">
        <f t="shared" si="35"/>
        <v>2.7119821701359639</v>
      </c>
    </row>
    <row r="551" spans="1:9" x14ac:dyDescent="0.5">
      <c r="A551" t="s">
        <v>549</v>
      </c>
      <c r="B551" s="1">
        <v>6.8771441000000003E-2</v>
      </c>
      <c r="C551" s="1">
        <v>6.8678720624853307E-2</v>
      </c>
      <c r="D551" s="1">
        <v>6.5767350900309496E-2</v>
      </c>
      <c r="E551" s="1">
        <v>6.8771441101020306E-2</v>
      </c>
      <c r="F551" s="1">
        <f t="shared" si="32"/>
        <v>6.7997238406545771E-2</v>
      </c>
      <c r="G551" s="1">
        <f t="shared" si="33"/>
        <v>1.4872340963660116E-3</v>
      </c>
      <c r="H551" s="1">
        <f t="shared" si="34"/>
        <v>6.3535536117447736E-2</v>
      </c>
      <c r="I551" s="1">
        <f t="shared" si="35"/>
        <v>7.2458940695643806E-2</v>
      </c>
    </row>
    <row r="552" spans="1:9" x14ac:dyDescent="0.5">
      <c r="A552" t="s">
        <v>550</v>
      </c>
      <c r="B552" s="1">
        <v>3.4274</v>
      </c>
      <c r="C552" s="1">
        <v>3.399</v>
      </c>
      <c r="D552" s="1">
        <v>3.4218999999999999</v>
      </c>
      <c r="E552" s="1">
        <v>3.4274</v>
      </c>
      <c r="F552" s="1">
        <f t="shared" si="32"/>
        <v>3.4189250000000002</v>
      </c>
      <c r="G552" s="1">
        <f t="shared" si="33"/>
        <v>1.3534000394069238E-2</v>
      </c>
      <c r="H552" s="1">
        <f t="shared" si="34"/>
        <v>3.3783229988177923</v>
      </c>
      <c r="I552" s="1">
        <f t="shared" si="35"/>
        <v>3.4595270011822081</v>
      </c>
    </row>
    <row r="553" spans="1:9" x14ac:dyDescent="0.5">
      <c r="A553" t="s">
        <v>551</v>
      </c>
      <c r="B553" s="1">
        <v>7.6411459000000001E-2</v>
      </c>
      <c r="C553" s="1">
        <v>8.84232247018093E-2</v>
      </c>
      <c r="D553" s="1">
        <v>8.1380382566480003E-2</v>
      </c>
      <c r="E553" s="1">
        <v>7.6411459291856901E-2</v>
      </c>
      <c r="F553" s="1">
        <f t="shared" si="32"/>
        <v>8.0656631390036551E-2</v>
      </c>
      <c r="G553" s="1">
        <f t="shared" si="33"/>
        <v>5.6829206751507653E-3</v>
      </c>
      <c r="H553" s="1">
        <f t="shared" si="34"/>
        <v>6.3607869364584263E-2</v>
      </c>
      <c r="I553" s="1">
        <f t="shared" si="35"/>
        <v>9.7705393415488839E-2</v>
      </c>
    </row>
    <row r="554" spans="1:9" x14ac:dyDescent="0.5">
      <c r="A554" t="s">
        <v>552</v>
      </c>
      <c r="B554" s="1">
        <v>4.3699000000000003</v>
      </c>
      <c r="C554" s="1">
        <v>4.4245999999999999</v>
      </c>
      <c r="D554" s="1">
        <v>4.5903</v>
      </c>
      <c r="E554" s="1">
        <v>4.3699000000000003</v>
      </c>
      <c r="F554" s="1">
        <f t="shared" si="32"/>
        <v>4.4386749999999999</v>
      </c>
      <c r="G554" s="1">
        <f t="shared" si="33"/>
        <v>0.1043204158670135</v>
      </c>
      <c r="H554" s="1">
        <f t="shared" si="34"/>
        <v>4.1257137523989593</v>
      </c>
      <c r="I554" s="1">
        <f t="shared" si="35"/>
        <v>4.7516362476010405</v>
      </c>
    </row>
    <row r="555" spans="1:9" x14ac:dyDescent="0.5">
      <c r="A555" t="s">
        <v>553</v>
      </c>
      <c r="B555" s="1">
        <v>0.51368093199999998</v>
      </c>
      <c r="C555" s="1">
        <v>0.378627404067786</v>
      </c>
      <c r="D555" s="1">
        <v>0.54382269373594705</v>
      </c>
      <c r="E555" s="1">
        <v>0.51368093209695798</v>
      </c>
      <c r="F555" s="1">
        <f t="shared" si="32"/>
        <v>0.48745299047517271</v>
      </c>
      <c r="G555" s="1">
        <f t="shared" si="33"/>
        <v>7.3928707867704141E-2</v>
      </c>
      <c r="H555" s="1">
        <f t="shared" si="34"/>
        <v>0.26566686687206031</v>
      </c>
      <c r="I555" s="1">
        <f t="shared" si="35"/>
        <v>0.7092391140782851</v>
      </c>
    </row>
    <row r="556" spans="1:9" x14ac:dyDescent="0.5">
      <c r="A556" t="s">
        <v>554</v>
      </c>
      <c r="B556" s="1">
        <v>9.3700000000000006E-2</v>
      </c>
      <c r="C556" s="1">
        <v>9.2899999999999996E-2</v>
      </c>
      <c r="D556" s="1">
        <v>9.3699999999999894E-2</v>
      </c>
      <c r="E556" s="1">
        <v>9.3699999999999894E-2</v>
      </c>
      <c r="F556" s="1">
        <f t="shared" si="32"/>
        <v>9.3499999999999944E-2</v>
      </c>
      <c r="G556" s="1">
        <f t="shared" si="33"/>
        <v>3.9999999999996749E-4</v>
      </c>
      <c r="H556" s="1">
        <f t="shared" si="34"/>
        <v>9.2300000000000049E-2</v>
      </c>
      <c r="I556" s="1">
        <f t="shared" si="35"/>
        <v>9.469999999999984E-2</v>
      </c>
    </row>
    <row r="557" spans="1:9" x14ac:dyDescent="0.5">
      <c r="A557" t="s">
        <v>555</v>
      </c>
      <c r="B557" s="1">
        <v>2.7908579999999998E-3</v>
      </c>
      <c r="C557" s="1">
        <v>3.0349812373573E-3</v>
      </c>
      <c r="D557" s="1">
        <v>3.0930028559098001E-3</v>
      </c>
      <c r="E557" s="1">
        <v>2.7908580918579E-3</v>
      </c>
      <c r="F557" s="1">
        <f t="shared" si="32"/>
        <v>2.9274250462812501E-3</v>
      </c>
      <c r="G557" s="1">
        <f t="shared" si="33"/>
        <v>1.59463095470008E-4</v>
      </c>
      <c r="H557" s="1">
        <f t="shared" si="34"/>
        <v>2.4490357598712263E-3</v>
      </c>
      <c r="I557" s="1">
        <f t="shared" si="35"/>
        <v>3.4058143326912739E-3</v>
      </c>
    </row>
    <row r="558" spans="1:9" x14ac:dyDescent="0.5">
      <c r="A558" t="s">
        <v>556</v>
      </c>
      <c r="B558" s="1">
        <v>91.003600000000006</v>
      </c>
      <c r="C558" s="1">
        <v>91.077299999999994</v>
      </c>
      <c r="D558" s="1">
        <v>91.017799999999994</v>
      </c>
      <c r="E558" s="1">
        <v>91.003600000000006</v>
      </c>
      <c r="F558" s="1">
        <f t="shared" si="32"/>
        <v>91.025575000000003</v>
      </c>
      <c r="G558" s="1">
        <f t="shared" si="33"/>
        <v>3.5127043238313095E-2</v>
      </c>
      <c r="H558" s="1">
        <f t="shared" si="34"/>
        <v>90.920193870285061</v>
      </c>
      <c r="I558" s="1">
        <f t="shared" si="35"/>
        <v>91.130956129714946</v>
      </c>
    </row>
    <row r="559" spans="1:9" x14ac:dyDescent="0.5">
      <c r="A559" t="s">
        <v>557</v>
      </c>
      <c r="B559" s="1">
        <v>0.24099893999999999</v>
      </c>
      <c r="C559" s="1">
        <v>0.30198015019386798</v>
      </c>
      <c r="D559" s="1">
        <v>0.26147139210416498</v>
      </c>
      <c r="E559" s="1">
        <v>0.24099893960117</v>
      </c>
      <c r="F559" s="1">
        <f t="shared" si="32"/>
        <v>0.26136235547480074</v>
      </c>
      <c r="G559" s="1">
        <f t="shared" si="33"/>
        <v>2.8746910168275016E-2</v>
      </c>
      <c r="H559" s="1">
        <f t="shared" si="34"/>
        <v>0.17512162496997569</v>
      </c>
      <c r="I559" s="1">
        <f t="shared" si="35"/>
        <v>0.3476030859796258</v>
      </c>
    </row>
    <row r="560" spans="1:9" x14ac:dyDescent="0.5">
      <c r="A560" t="s">
        <v>558</v>
      </c>
      <c r="B560" s="1">
        <v>0.99960000000000004</v>
      </c>
      <c r="C560" s="1">
        <v>0.99990000000000001</v>
      </c>
      <c r="D560" s="1">
        <v>0.99980000000000002</v>
      </c>
      <c r="E560" s="1">
        <v>0.99960000000000004</v>
      </c>
      <c r="F560" s="1">
        <f t="shared" si="32"/>
        <v>0.99972499999999997</v>
      </c>
      <c r="G560" s="1">
        <f t="shared" si="33"/>
        <v>1.4999999999998348E-4</v>
      </c>
      <c r="H560" s="1">
        <f t="shared" si="34"/>
        <v>0.99927500000000002</v>
      </c>
      <c r="I560" s="1">
        <f t="shared" si="35"/>
        <v>1.000175</v>
      </c>
    </row>
    <row r="561" spans="1:9" x14ac:dyDescent="0.5">
      <c r="A561" t="s">
        <v>559</v>
      </c>
      <c r="B561" s="1">
        <v>5.1639800000000005E-4</v>
      </c>
      <c r="C561" s="1">
        <v>3.1622776601679999E-4</v>
      </c>
      <c r="D561" s="1">
        <v>4.2163702135570002E-4</v>
      </c>
      <c r="E561" s="1">
        <v>5.1639777949429998E-4</v>
      </c>
      <c r="F561" s="1">
        <f t="shared" si="32"/>
        <v>4.4266514171669997E-4</v>
      </c>
      <c r="G561" s="1">
        <f t="shared" si="33"/>
        <v>9.5396764592345823E-5</v>
      </c>
      <c r="H561" s="1">
        <f t="shared" si="34"/>
        <v>1.5647484793966247E-4</v>
      </c>
      <c r="I561" s="1">
        <f t="shared" si="35"/>
        <v>7.2885543549373747E-4</v>
      </c>
    </row>
    <row r="562" spans="1:9" x14ac:dyDescent="0.5">
      <c r="A562" t="s">
        <v>560</v>
      </c>
      <c r="B562" s="1">
        <v>-0.36599399999999999</v>
      </c>
      <c r="C562" s="1">
        <v>-0.49993900000000002</v>
      </c>
      <c r="D562" s="1">
        <v>-0.39751700000000001</v>
      </c>
      <c r="E562" s="1">
        <v>-0.36599399999999999</v>
      </c>
      <c r="F562" s="1">
        <f t="shared" si="32"/>
        <v>-0.40736100000000003</v>
      </c>
      <c r="G562" s="1">
        <f t="shared" si="33"/>
        <v>6.3482406481375972E-2</v>
      </c>
      <c r="H562" s="1">
        <f t="shared" si="34"/>
        <v>-0.59780821944412788</v>
      </c>
      <c r="I562" s="1">
        <f t="shared" si="35"/>
        <v>-0.21691378055587213</v>
      </c>
    </row>
    <row r="563" spans="1:9" x14ac:dyDescent="0.5">
      <c r="A563" t="s">
        <v>561</v>
      </c>
      <c r="B563" s="1">
        <v>2.1306635809999999</v>
      </c>
      <c r="C563" s="1">
        <v>2.0829336019526199</v>
      </c>
      <c r="D563" s="1">
        <v>2.1168115448845799</v>
      </c>
      <c r="E563" s="1">
        <v>2.13066358132963</v>
      </c>
      <c r="F563" s="1">
        <f t="shared" si="32"/>
        <v>2.1152680772917076</v>
      </c>
      <c r="G563" s="1">
        <f t="shared" si="33"/>
        <v>2.2523644366739311E-2</v>
      </c>
      <c r="H563" s="1">
        <f t="shared" si="34"/>
        <v>2.0476971441914897</v>
      </c>
      <c r="I563" s="1">
        <f t="shared" si="35"/>
        <v>2.1828390103919255</v>
      </c>
    </row>
    <row r="564" spans="1:9" x14ac:dyDescent="0.5">
      <c r="A564" t="s">
        <v>562</v>
      </c>
      <c r="B564" s="1">
        <v>14.66</v>
      </c>
      <c r="C564" s="1">
        <v>14.7658</v>
      </c>
      <c r="D564" s="1">
        <v>14.7080999999999</v>
      </c>
      <c r="E564" s="1">
        <v>14.66</v>
      </c>
      <c r="F564" s="1">
        <f t="shared" si="32"/>
        <v>14.698474999999977</v>
      </c>
      <c r="G564" s="1">
        <f t="shared" si="33"/>
        <v>5.0285675561396632E-2</v>
      </c>
      <c r="H564" s="1">
        <f t="shared" si="34"/>
        <v>14.547617973315788</v>
      </c>
      <c r="I564" s="1">
        <f t="shared" si="35"/>
        <v>14.849332026684166</v>
      </c>
    </row>
    <row r="565" spans="1:9" x14ac:dyDescent="0.5">
      <c r="A565" t="s">
        <v>563</v>
      </c>
      <c r="B565" s="1">
        <v>1.6380857390000001</v>
      </c>
      <c r="C565" s="1">
        <v>1.5969746258333399</v>
      </c>
      <c r="D565" s="1">
        <v>1.57950726845782</v>
      </c>
      <c r="E565" s="1">
        <v>1.63808573917511</v>
      </c>
      <c r="F565" s="1">
        <f t="shared" si="32"/>
        <v>1.6131633431165675</v>
      </c>
      <c r="G565" s="1">
        <f t="shared" si="33"/>
        <v>2.9648257793563813E-2</v>
      </c>
      <c r="H565" s="1">
        <f t="shared" si="34"/>
        <v>1.5242185697358761</v>
      </c>
      <c r="I565" s="1">
        <f t="shared" si="35"/>
        <v>1.7021081164972589</v>
      </c>
    </row>
    <row r="566" spans="1:9" x14ac:dyDescent="0.5">
      <c r="A566" t="s">
        <v>564</v>
      </c>
      <c r="B566" s="1">
        <v>20.6111</v>
      </c>
      <c r="C566" s="1">
        <v>20.6753</v>
      </c>
      <c r="D566" s="1">
        <v>20.6037</v>
      </c>
      <c r="E566" s="1">
        <v>20.6111</v>
      </c>
      <c r="F566" s="1">
        <f t="shared" si="32"/>
        <v>20.625300000000003</v>
      </c>
      <c r="G566" s="1">
        <f t="shared" si="33"/>
        <v>3.3515369608583971E-2</v>
      </c>
      <c r="H566" s="1">
        <f t="shared" si="34"/>
        <v>20.52475389117425</v>
      </c>
      <c r="I566" s="1">
        <f t="shared" si="35"/>
        <v>20.725846108825756</v>
      </c>
    </row>
    <row r="567" spans="1:9" x14ac:dyDescent="0.5">
      <c r="A567" t="s">
        <v>565</v>
      </c>
      <c r="B567" s="1">
        <v>2.6124508049999999</v>
      </c>
      <c r="C567" s="1">
        <v>2.7305443922005299</v>
      </c>
      <c r="D567" s="1">
        <v>2.6465590679219599</v>
      </c>
      <c r="E567" s="1">
        <v>2.6124508054911</v>
      </c>
      <c r="F567" s="1">
        <f t="shared" si="32"/>
        <v>2.6505012676533974</v>
      </c>
      <c r="G567" s="1">
        <f t="shared" si="33"/>
        <v>5.5731852367362111E-2</v>
      </c>
      <c r="H567" s="1">
        <f t="shared" si="34"/>
        <v>2.4833057105513112</v>
      </c>
      <c r="I567" s="1">
        <f t="shared" si="35"/>
        <v>2.8176968247554837</v>
      </c>
    </row>
    <row r="568" spans="1:9" x14ac:dyDescent="0.5">
      <c r="A568" t="s">
        <v>566</v>
      </c>
      <c r="B568" s="1">
        <v>29.384799999999998</v>
      </c>
      <c r="C568" s="1">
        <v>31.871400000000001</v>
      </c>
      <c r="D568" s="1">
        <v>29.281400000000001</v>
      </c>
      <c r="E568" s="1">
        <v>29.384799999999998</v>
      </c>
      <c r="F568" s="1">
        <f t="shared" si="32"/>
        <v>29.980599999999999</v>
      </c>
      <c r="G568" s="1">
        <f t="shared" si="33"/>
        <v>1.2614754007378302</v>
      </c>
      <c r="H568" s="1">
        <f t="shared" si="34"/>
        <v>26.196173797786507</v>
      </c>
      <c r="I568" s="1">
        <f t="shared" si="35"/>
        <v>33.765026202213491</v>
      </c>
    </row>
    <row r="569" spans="1:9" x14ac:dyDescent="0.5">
      <c r="A569" t="s">
        <v>567</v>
      </c>
      <c r="B569" s="1">
        <v>18.116989109999999</v>
      </c>
      <c r="C569" s="1">
        <v>21.119689929331599</v>
      </c>
      <c r="D569" s="1">
        <v>17.231144156246</v>
      </c>
      <c r="E569" s="1">
        <v>18.116989109672701</v>
      </c>
      <c r="F569" s="1">
        <f t="shared" si="32"/>
        <v>18.646203076312574</v>
      </c>
      <c r="G569" s="1">
        <f t="shared" si="33"/>
        <v>1.7010451496991426</v>
      </c>
      <c r="H569" s="1">
        <f t="shared" si="34"/>
        <v>13.543067627215146</v>
      </c>
      <c r="I569" s="1">
        <f t="shared" si="35"/>
        <v>23.749338525410003</v>
      </c>
    </row>
    <row r="570" spans="1:9" x14ac:dyDescent="0.5">
      <c r="A570" t="s">
        <v>568</v>
      </c>
      <c r="B570" s="1">
        <v>0.51170000000000004</v>
      </c>
      <c r="C570" s="1">
        <v>0.51539999999999897</v>
      </c>
      <c r="D570" s="1">
        <v>0.51359999999999995</v>
      </c>
      <c r="E570" s="1">
        <v>0.51170000000000004</v>
      </c>
      <c r="F570" s="1">
        <f t="shared" si="32"/>
        <v>0.51309999999999967</v>
      </c>
      <c r="G570" s="1">
        <f t="shared" si="33"/>
        <v>1.7757627469151542E-3</v>
      </c>
      <c r="H570" s="1">
        <f t="shared" si="34"/>
        <v>0.5077727117592542</v>
      </c>
      <c r="I570" s="1">
        <f t="shared" si="35"/>
        <v>0.51842728824074513</v>
      </c>
    </row>
    <row r="571" spans="1:9" x14ac:dyDescent="0.5">
      <c r="A571" t="s">
        <v>569</v>
      </c>
      <c r="B571" s="1">
        <v>5.6598096000000001E-2</v>
      </c>
      <c r="C571" s="1">
        <v>5.5771757089846899E-2</v>
      </c>
      <c r="D571" s="1">
        <v>5.4498114136586798E-2</v>
      </c>
      <c r="E571" s="1">
        <v>5.6598095766946403E-2</v>
      </c>
      <c r="F571" s="1">
        <f t="shared" si="32"/>
        <v>5.586651574834503E-2</v>
      </c>
      <c r="G571" s="1">
        <f t="shared" si="33"/>
        <v>9.9195449536949171E-4</v>
      </c>
      <c r="H571" s="1">
        <f t="shared" si="34"/>
        <v>5.2890652262236555E-2</v>
      </c>
      <c r="I571" s="1">
        <f t="shared" si="35"/>
        <v>5.8842379234453505E-2</v>
      </c>
    </row>
    <row r="572" spans="1:9" x14ac:dyDescent="0.5">
      <c r="A572" t="s">
        <v>570</v>
      </c>
      <c r="B572" s="1">
        <v>45.026299999999999</v>
      </c>
      <c r="C572" s="1">
        <v>44.901299999999999</v>
      </c>
      <c r="D572" s="1">
        <v>45.068300000000001</v>
      </c>
      <c r="E572" s="1">
        <v>45.026299999999999</v>
      </c>
      <c r="F572" s="1">
        <f t="shared" si="32"/>
        <v>45.005549999999999</v>
      </c>
      <c r="G572" s="1">
        <f t="shared" si="33"/>
        <v>7.2265136822675893E-2</v>
      </c>
      <c r="H572" s="1">
        <f t="shared" si="34"/>
        <v>44.788754589531969</v>
      </c>
      <c r="I572" s="1">
        <f t="shared" si="35"/>
        <v>45.22234541046803</v>
      </c>
    </row>
    <row r="573" spans="1:9" x14ac:dyDescent="0.5">
      <c r="A573" t="s">
        <v>571</v>
      </c>
      <c r="B573" s="1">
        <v>9.1553168039999999</v>
      </c>
      <c r="C573" s="1">
        <v>9.0290445790853795</v>
      </c>
      <c r="D573" s="1">
        <v>9.0072242863406196</v>
      </c>
      <c r="E573" s="1">
        <v>9.1553168043978008</v>
      </c>
      <c r="F573" s="1">
        <f t="shared" si="32"/>
        <v>9.0867256184559508</v>
      </c>
      <c r="G573" s="1">
        <f t="shared" si="33"/>
        <v>7.9701663793234193E-2</v>
      </c>
      <c r="H573" s="1">
        <f t="shared" si="34"/>
        <v>8.8476206270762479</v>
      </c>
      <c r="I573" s="1">
        <f t="shared" si="35"/>
        <v>9.3258306098356538</v>
      </c>
    </row>
    <row r="574" spans="1:9" x14ac:dyDescent="0.5">
      <c r="A574" t="s">
        <v>572</v>
      </c>
      <c r="B574" s="1">
        <v>0.98160000000000003</v>
      </c>
      <c r="C574" s="1">
        <v>0.98129999999999995</v>
      </c>
      <c r="D574" s="1">
        <v>0.98129999999999995</v>
      </c>
      <c r="E574" s="1">
        <v>0.98160000000000003</v>
      </c>
      <c r="F574" s="1">
        <f t="shared" si="32"/>
        <v>0.98144999999999993</v>
      </c>
      <c r="G574" s="1">
        <f t="shared" si="33"/>
        <v>1.7320508075693275E-4</v>
      </c>
      <c r="H574" s="1">
        <f t="shared" si="34"/>
        <v>0.98093038475772909</v>
      </c>
      <c r="I574" s="1">
        <f t="shared" si="35"/>
        <v>0.98196961524227078</v>
      </c>
    </row>
    <row r="575" spans="1:9" x14ac:dyDescent="0.5">
      <c r="A575" t="s">
        <v>573</v>
      </c>
      <c r="B575" s="1">
        <v>7.0898990000000002E-3</v>
      </c>
      <c r="C575" s="1">
        <v>7.3944423574584996E-3</v>
      </c>
      <c r="D575" s="1">
        <v>7.0718534424229996E-3</v>
      </c>
      <c r="E575" s="1">
        <v>7.0898989179441997E-3</v>
      </c>
      <c r="F575" s="1">
        <f t="shared" si="32"/>
        <v>7.1615234294564248E-3</v>
      </c>
      <c r="G575" s="1">
        <f t="shared" si="33"/>
        <v>1.5551212507982945E-4</v>
      </c>
      <c r="H575" s="1">
        <f t="shared" si="34"/>
        <v>6.694987054216936E-3</v>
      </c>
      <c r="I575" s="1">
        <f t="shared" si="35"/>
        <v>7.6280598046959136E-3</v>
      </c>
    </row>
    <row r="576" spans="1:9" x14ac:dyDescent="0.5">
      <c r="A576" t="s">
        <v>574</v>
      </c>
      <c r="B576" s="1">
        <v>0.58976979799999996</v>
      </c>
      <c r="C576" s="1">
        <v>0.584882868558803</v>
      </c>
      <c r="D576" s="1">
        <v>0.58882338567854298</v>
      </c>
      <c r="E576" s="1">
        <v>0.58976979808721397</v>
      </c>
      <c r="F576" s="1">
        <f t="shared" si="32"/>
        <v>0.58831146258113998</v>
      </c>
      <c r="G576" s="1">
        <f t="shared" si="33"/>
        <v>2.328862874869558E-3</v>
      </c>
      <c r="H576" s="1">
        <f t="shared" si="34"/>
        <v>0.58132487395653132</v>
      </c>
      <c r="I576" s="1">
        <f t="shared" si="35"/>
        <v>0.59529805120574864</v>
      </c>
    </row>
    <row r="577" spans="1:9" x14ac:dyDescent="0.5">
      <c r="A577" t="s">
        <v>575</v>
      </c>
      <c r="B577" s="1">
        <v>1.3148501E-2</v>
      </c>
      <c r="C577" s="1">
        <v>1.5215424922275299E-2</v>
      </c>
      <c r="D577" s="1">
        <v>1.40035279787865E-2</v>
      </c>
      <c r="E577" s="1">
        <v>1.3148500588815899E-2</v>
      </c>
      <c r="F577" s="1">
        <f t="shared" si="32"/>
        <v>1.3878988622469425E-2</v>
      </c>
      <c r="G577" s="1">
        <f t="shared" si="33"/>
        <v>9.7788836591959985E-4</v>
      </c>
      <c r="H577" s="1">
        <f t="shared" si="34"/>
        <v>1.0945323524710626E-2</v>
      </c>
      <c r="I577" s="1">
        <f t="shared" si="35"/>
        <v>1.6812653720228225E-2</v>
      </c>
    </row>
    <row r="578" spans="1:9" x14ac:dyDescent="0.5">
      <c r="A578" t="s">
        <v>576</v>
      </c>
      <c r="B578" s="1">
        <v>3.54665469</v>
      </c>
      <c r="C578" s="1">
        <v>3.5577019041817599</v>
      </c>
      <c r="D578" s="1">
        <v>3.5453813353707</v>
      </c>
      <c r="E578" s="1">
        <v>3.54665469024782</v>
      </c>
      <c r="F578" s="1">
        <f t="shared" si="32"/>
        <v>3.54909815495007</v>
      </c>
      <c r="G578" s="1">
        <f t="shared" si="33"/>
        <v>5.7671567038635636E-3</v>
      </c>
      <c r="H578" s="1">
        <f t="shared" si="34"/>
        <v>3.5317966848384792</v>
      </c>
      <c r="I578" s="1">
        <f t="shared" si="35"/>
        <v>3.5663996250616607</v>
      </c>
    </row>
    <row r="579" spans="1:9" x14ac:dyDescent="0.5">
      <c r="A579" t="s">
        <v>577</v>
      </c>
      <c r="B579" s="1">
        <v>0.44953742899999999</v>
      </c>
      <c r="C579" s="1">
        <v>0.46985838094657201</v>
      </c>
      <c r="D579" s="1">
        <v>0.45540660766593499</v>
      </c>
      <c r="E579" s="1">
        <v>0.44953742897451898</v>
      </c>
      <c r="F579" s="1">
        <f t="shared" ref="F579:F613" si="36">AVERAGE(B579:E579)</f>
        <v>0.45608496164675649</v>
      </c>
      <c r="G579" s="1">
        <f t="shared" ref="G579:G613" si="37">_xlfn.STDEV.S(B579:E579)</f>
        <v>9.5900575456422023E-3</v>
      </c>
      <c r="H579" s="1">
        <f t="shared" ref="H579:H613" si="38">F579-3*G579</f>
        <v>0.42731478900982989</v>
      </c>
      <c r="I579" s="1">
        <f t="shared" ref="I579:I613" si="39">F579+3*G579</f>
        <v>0.4848551342836831</v>
      </c>
    </row>
    <row r="580" spans="1:9" x14ac:dyDescent="0.5">
      <c r="A580" t="s">
        <v>578</v>
      </c>
      <c r="B580" s="1">
        <v>43.542504309999998</v>
      </c>
      <c r="C580" s="1">
        <v>39.675402641296301</v>
      </c>
      <c r="D580" s="1">
        <v>58.560490608215297</v>
      </c>
      <c r="E580" s="1">
        <v>64.431953430175696</v>
      </c>
      <c r="F580" s="1">
        <f t="shared" si="36"/>
        <v>51.552587747421825</v>
      </c>
      <c r="G580" s="1">
        <f t="shared" si="37"/>
        <v>11.835226031020602</v>
      </c>
      <c r="H580" s="1">
        <v>0</v>
      </c>
      <c r="I580" s="1">
        <v>100000000</v>
      </c>
    </row>
    <row r="581" spans="1:9" x14ac:dyDescent="0.5">
      <c r="A581" t="s">
        <v>579</v>
      </c>
      <c r="B581" s="1">
        <v>32.809232180000002</v>
      </c>
      <c r="C581" s="1">
        <v>39.0398982148212</v>
      </c>
      <c r="D581" s="1">
        <v>29.977063478381599</v>
      </c>
      <c r="E581" s="1">
        <v>49.3502919699717</v>
      </c>
      <c r="F581" s="1">
        <f t="shared" si="36"/>
        <v>37.794121460793626</v>
      </c>
      <c r="G581" s="1">
        <f t="shared" si="37"/>
        <v>8.583949230982105</v>
      </c>
      <c r="H581" s="1">
        <v>0</v>
      </c>
      <c r="I581" s="1">
        <v>100000000</v>
      </c>
    </row>
    <row r="582" spans="1:9" x14ac:dyDescent="0.5">
      <c r="A582" t="s">
        <v>580</v>
      </c>
      <c r="B582" s="1">
        <v>-200.19519099999999</v>
      </c>
      <c r="C582" s="1">
        <v>-200.19519</v>
      </c>
      <c r="D582" s="1">
        <v>-200.19519199999999</v>
      </c>
      <c r="E582" s="1">
        <v>-200.19519099999999</v>
      </c>
      <c r="F582" s="1">
        <f t="shared" si="36"/>
        <v>-200.19519099999999</v>
      </c>
      <c r="G582" s="1">
        <f t="shared" si="37"/>
        <v>8.1649657886627035E-7</v>
      </c>
      <c r="H582" s="1">
        <f t="shared" si="38"/>
        <v>-200.19519344948972</v>
      </c>
      <c r="I582" s="1">
        <f t="shared" si="39"/>
        <v>-200.19518855051027</v>
      </c>
    </row>
    <row r="583" spans="1:9" x14ac:dyDescent="0.5">
      <c r="A583" t="s">
        <v>581</v>
      </c>
      <c r="B583" s="1">
        <v>4.4978319559999997</v>
      </c>
      <c r="C583" s="1">
        <v>4.4978328766022901</v>
      </c>
      <c r="D583" s="1">
        <v>4.4978323175745096</v>
      </c>
      <c r="E583" s="1">
        <v>4.4978319556066797</v>
      </c>
      <c r="F583" s="1">
        <f t="shared" si="36"/>
        <v>4.4978322764458696</v>
      </c>
      <c r="G583" s="1">
        <f t="shared" si="37"/>
        <v>4.3493395492248684E-7</v>
      </c>
      <c r="H583" s="1">
        <f t="shared" si="38"/>
        <v>4.4978309716440048</v>
      </c>
      <c r="I583" s="1">
        <f t="shared" si="39"/>
        <v>4.4978335812477344</v>
      </c>
    </row>
    <row r="584" spans="1:9" x14ac:dyDescent="0.5">
      <c r="A584" t="s">
        <v>582</v>
      </c>
      <c r="B584" s="1">
        <v>220.5436</v>
      </c>
      <c r="C584" s="1">
        <v>220.5436</v>
      </c>
      <c r="D584" s="1">
        <v>220.5436</v>
      </c>
      <c r="E584" s="1">
        <v>220.5436</v>
      </c>
      <c r="F584" s="1">
        <f t="shared" si="36"/>
        <v>220.5436</v>
      </c>
      <c r="G584" s="1">
        <f t="shared" si="37"/>
        <v>0</v>
      </c>
      <c r="H584" s="1">
        <f t="shared" si="38"/>
        <v>220.5436</v>
      </c>
      <c r="I584" s="1">
        <f t="shared" si="39"/>
        <v>220.5436</v>
      </c>
    </row>
    <row r="585" spans="1:9" x14ac:dyDescent="0.5">
      <c r="A585" t="s">
        <v>583</v>
      </c>
      <c r="B585" s="1">
        <v>3.0092969350000001</v>
      </c>
      <c r="C585" s="1">
        <v>3.0092969352399201</v>
      </c>
      <c r="D585" s="1">
        <v>3.0092969352399201</v>
      </c>
      <c r="E585" s="1">
        <v>3.0092969352399201</v>
      </c>
      <c r="F585" s="1">
        <f t="shared" si="36"/>
        <v>3.0092969351799401</v>
      </c>
      <c r="G585" s="1">
        <f t="shared" si="37"/>
        <v>1.1996004189995801E-10</v>
      </c>
      <c r="H585" s="1">
        <f t="shared" si="38"/>
        <v>3.00929693482006</v>
      </c>
      <c r="I585" s="1">
        <f t="shared" si="39"/>
        <v>3.0092969355398203</v>
      </c>
    </row>
    <row r="586" spans="1:9" x14ac:dyDescent="0.5">
      <c r="A586" t="s">
        <v>584</v>
      </c>
      <c r="B586" s="1">
        <v>258.15260000000001</v>
      </c>
      <c r="C586" s="1">
        <v>258.15260000000001</v>
      </c>
      <c r="D586" s="1">
        <v>258.15260000000001</v>
      </c>
      <c r="E586" s="1">
        <v>258.15260000000001</v>
      </c>
      <c r="F586" s="1">
        <f t="shared" si="36"/>
        <v>258.15260000000001</v>
      </c>
      <c r="G586" s="1">
        <f t="shared" si="37"/>
        <v>0</v>
      </c>
      <c r="H586" s="1">
        <f t="shared" si="38"/>
        <v>258.15260000000001</v>
      </c>
      <c r="I586" s="1">
        <f t="shared" si="39"/>
        <v>258.15260000000001</v>
      </c>
    </row>
    <row r="587" spans="1:9" x14ac:dyDescent="0.5">
      <c r="A587" t="s">
        <v>585</v>
      </c>
      <c r="B587" s="1">
        <v>3.6353979820000002</v>
      </c>
      <c r="C587" s="1">
        <v>3.63539798218694</v>
      </c>
      <c r="D587" s="1">
        <v>3.63539798218694</v>
      </c>
      <c r="E587" s="1">
        <v>3.63539798218694</v>
      </c>
      <c r="F587" s="1">
        <f t="shared" si="36"/>
        <v>3.6353979821402049</v>
      </c>
      <c r="G587" s="1">
        <f t="shared" si="37"/>
        <v>9.3469898487884768E-11</v>
      </c>
      <c r="H587" s="1">
        <f t="shared" si="38"/>
        <v>3.6353979818597955</v>
      </c>
      <c r="I587" s="1">
        <f t="shared" si="39"/>
        <v>3.6353979824206144</v>
      </c>
    </row>
    <row r="588" spans="1:9" x14ac:dyDescent="0.5">
      <c r="A588" t="s">
        <v>586</v>
      </c>
      <c r="B588" s="1">
        <v>185.75640000000001</v>
      </c>
      <c r="C588" s="1">
        <v>185.75640000000001</v>
      </c>
      <c r="D588" s="1">
        <v>185.75640000000001</v>
      </c>
      <c r="E588" s="1">
        <v>185.75640000000001</v>
      </c>
      <c r="F588" s="1">
        <f t="shared" si="36"/>
        <v>185.75640000000001</v>
      </c>
      <c r="G588" s="1">
        <f t="shared" si="37"/>
        <v>0</v>
      </c>
      <c r="H588" s="1">
        <f t="shared" si="38"/>
        <v>185.75640000000001</v>
      </c>
      <c r="I588" s="1">
        <f t="shared" si="39"/>
        <v>185.75640000000001</v>
      </c>
    </row>
    <row r="589" spans="1:9" x14ac:dyDescent="0.5">
      <c r="A589" t="s">
        <v>587</v>
      </c>
      <c r="B589" s="1">
        <v>11.474273910000001</v>
      </c>
      <c r="C589" s="1">
        <v>11.474273912637001</v>
      </c>
      <c r="D589" s="1">
        <v>11.474273912637001</v>
      </c>
      <c r="E589" s="1">
        <v>11.474273912637001</v>
      </c>
      <c r="F589" s="1">
        <f t="shared" si="36"/>
        <v>11.474273911977752</v>
      </c>
      <c r="G589" s="1">
        <f t="shared" si="37"/>
        <v>1.3184999758673137E-9</v>
      </c>
      <c r="H589" s="1">
        <f t="shared" si="38"/>
        <v>11.474273908022251</v>
      </c>
      <c r="I589" s="1">
        <f t="shared" si="39"/>
        <v>11.474273915933253</v>
      </c>
    </row>
    <row r="590" spans="1:9" x14ac:dyDescent="0.5">
      <c r="A590" t="s">
        <v>588</v>
      </c>
      <c r="B590" s="1">
        <v>7.7004000000000001</v>
      </c>
      <c r="C590" s="1">
        <v>7.7003999999999904</v>
      </c>
      <c r="D590" s="1">
        <v>7.7003999999999904</v>
      </c>
      <c r="E590" s="1">
        <v>7.7003999999999904</v>
      </c>
      <c r="F590" s="1">
        <f t="shared" si="36"/>
        <v>7.700399999999993</v>
      </c>
      <c r="G590" s="1">
        <f t="shared" si="37"/>
        <v>4.891705305075524E-15</v>
      </c>
      <c r="H590" s="1">
        <f t="shared" si="38"/>
        <v>7.7003999999999779</v>
      </c>
      <c r="I590" s="1">
        <f t="shared" si="39"/>
        <v>7.7004000000000081</v>
      </c>
    </row>
    <row r="591" spans="1:9" x14ac:dyDescent="0.5">
      <c r="A591" t="s">
        <v>589</v>
      </c>
      <c r="B591" s="1">
        <v>0.136666016</v>
      </c>
      <c r="C591" s="1">
        <v>0.13666601625861399</v>
      </c>
      <c r="D591" s="1">
        <v>0.13666601625861399</v>
      </c>
      <c r="E591" s="1">
        <v>0.13666601625861399</v>
      </c>
      <c r="F591" s="1">
        <f t="shared" si="36"/>
        <v>0.13666601619396049</v>
      </c>
      <c r="G591" s="1">
        <f t="shared" si="37"/>
        <v>1.2930699566648963E-10</v>
      </c>
      <c r="H591" s="1">
        <f t="shared" si="38"/>
        <v>0.13666601580603949</v>
      </c>
      <c r="I591" s="1">
        <f t="shared" si="39"/>
        <v>0.13666601658188149</v>
      </c>
    </row>
    <row r="592" spans="1:9" x14ac:dyDescent="0.5">
      <c r="A592" t="s">
        <v>590</v>
      </c>
      <c r="B592" s="1">
        <v>-577.58680000000004</v>
      </c>
      <c r="C592" s="1">
        <v>-577.58680000000004</v>
      </c>
      <c r="D592" s="1">
        <v>-577.58680000000004</v>
      </c>
      <c r="E592" s="1">
        <v>-577.58680000000004</v>
      </c>
      <c r="F592" s="1">
        <f t="shared" si="36"/>
        <v>-577.58680000000004</v>
      </c>
      <c r="G592" s="1">
        <f t="shared" si="37"/>
        <v>0</v>
      </c>
      <c r="H592" s="1">
        <f t="shared" si="38"/>
        <v>-577.58680000000004</v>
      </c>
      <c r="I592" s="1">
        <f t="shared" si="39"/>
        <v>-577.58680000000004</v>
      </c>
    </row>
    <row r="593" spans="1:9" x14ac:dyDescent="0.5">
      <c r="A593" t="s">
        <v>591</v>
      </c>
      <c r="B593" s="1">
        <v>12.61875042</v>
      </c>
      <c r="C593" s="1">
        <v>12.6187504206152</v>
      </c>
      <c r="D593" s="1">
        <v>12.6187504206152</v>
      </c>
      <c r="E593" s="1">
        <v>12.6187504206152</v>
      </c>
      <c r="F593" s="1">
        <f t="shared" si="36"/>
        <v>12.618750420461399</v>
      </c>
      <c r="G593" s="1">
        <f t="shared" si="37"/>
        <v>3.0760016755991272E-10</v>
      </c>
      <c r="H593" s="1">
        <f t="shared" si="38"/>
        <v>12.6187504195386</v>
      </c>
      <c r="I593" s="1">
        <f t="shared" si="39"/>
        <v>12.618750421384199</v>
      </c>
    </row>
    <row r="594" spans="1:9" x14ac:dyDescent="0.5">
      <c r="A594" t="s">
        <v>592</v>
      </c>
      <c r="B594" s="1">
        <v>4.02E-2</v>
      </c>
      <c r="C594" s="1">
        <v>4.02E-2</v>
      </c>
      <c r="D594" s="1">
        <v>4.02E-2</v>
      </c>
      <c r="E594" s="1">
        <v>4.02E-2</v>
      </c>
      <c r="F594" s="1">
        <f t="shared" si="36"/>
        <v>4.02E-2</v>
      </c>
      <c r="G594" s="1">
        <f t="shared" si="37"/>
        <v>0</v>
      </c>
      <c r="H594" s="1">
        <f t="shared" si="38"/>
        <v>4.02E-2</v>
      </c>
      <c r="I594" s="1">
        <f t="shared" si="39"/>
        <v>4.02E-2</v>
      </c>
    </row>
    <row r="595" spans="1:9" x14ac:dyDescent="0.5">
      <c r="A595" t="s">
        <v>593</v>
      </c>
      <c r="B595" s="1">
        <v>1.4343407000000001E-2</v>
      </c>
      <c r="C595" s="1">
        <v>1.43434073125367E-2</v>
      </c>
      <c r="D595" s="1">
        <v>1.43434073125367E-2</v>
      </c>
      <c r="E595" s="1">
        <v>1.43434073125367E-2</v>
      </c>
      <c r="F595" s="1">
        <f t="shared" si="36"/>
        <v>1.4343407234402526E-2</v>
      </c>
      <c r="G595" s="1">
        <f t="shared" si="37"/>
        <v>1.5626834982268578E-10</v>
      </c>
      <c r="H595" s="1">
        <f t="shared" si="38"/>
        <v>1.4343406765597477E-2</v>
      </c>
      <c r="I595" s="1">
        <f t="shared" si="39"/>
        <v>1.4343407703207574E-2</v>
      </c>
    </row>
    <row r="596" spans="1:9" x14ac:dyDescent="0.5">
      <c r="A596" t="s">
        <v>594</v>
      </c>
      <c r="B596" s="1">
        <v>-202.20961500000001</v>
      </c>
      <c r="C596" s="1">
        <v>-202.20961399999999</v>
      </c>
      <c r="D596" s="1">
        <v>-202.20961700000001</v>
      </c>
      <c r="E596" s="1">
        <v>-202.20961500000001</v>
      </c>
      <c r="F596" s="1">
        <f t="shared" si="36"/>
        <v>-202.20961524999998</v>
      </c>
      <c r="G596" s="1">
        <f t="shared" si="37"/>
        <v>1.2583057454462437E-6</v>
      </c>
      <c r="H596" s="1">
        <f t="shared" si="38"/>
        <v>-202.20961902491723</v>
      </c>
      <c r="I596" s="1">
        <f t="shared" si="39"/>
        <v>-202.20961147508274</v>
      </c>
    </row>
    <row r="597" spans="1:9" x14ac:dyDescent="0.5">
      <c r="A597" t="s">
        <v>595</v>
      </c>
      <c r="B597" s="1">
        <v>123.8511391</v>
      </c>
      <c r="C597" s="1">
        <v>123.85114010552201</v>
      </c>
      <c r="D597" s="1">
        <v>123.85113907117599</v>
      </c>
      <c r="E597" s="1">
        <v>123.851139064921</v>
      </c>
      <c r="F597" s="1">
        <f t="shared" si="36"/>
        <v>123.85113933540475</v>
      </c>
      <c r="G597" s="1">
        <f t="shared" si="37"/>
        <v>5.1363874494999476E-7</v>
      </c>
      <c r="H597" s="1">
        <f t="shared" si="38"/>
        <v>123.85113779448852</v>
      </c>
      <c r="I597" s="1">
        <f t="shared" si="39"/>
        <v>123.85114087632098</v>
      </c>
    </row>
    <row r="598" spans="1:9" x14ac:dyDescent="0.5">
      <c r="A598" t="s">
        <v>596</v>
      </c>
      <c r="B598" s="1">
        <v>225.6541</v>
      </c>
      <c r="C598" s="1">
        <v>225.6542</v>
      </c>
      <c r="D598" s="1">
        <v>225.6542</v>
      </c>
      <c r="E598" s="1">
        <v>225.6541</v>
      </c>
      <c r="F598" s="1">
        <f t="shared" si="36"/>
        <v>225.65415000000002</v>
      </c>
      <c r="G598" s="1">
        <f t="shared" si="37"/>
        <v>5.7735026920879184E-5</v>
      </c>
      <c r="H598" s="1">
        <f t="shared" si="38"/>
        <v>225.65397679491926</v>
      </c>
      <c r="I598" s="1">
        <f t="shared" si="39"/>
        <v>225.65432320508077</v>
      </c>
    </row>
    <row r="599" spans="1:9" x14ac:dyDescent="0.5">
      <c r="A599" t="s">
        <v>597</v>
      </c>
      <c r="B599" s="1">
        <v>99.18231256</v>
      </c>
      <c r="C599" s="1">
        <v>99.1824904829476</v>
      </c>
      <c r="D599" s="1">
        <v>99.1824904829476</v>
      </c>
      <c r="E599" s="1">
        <v>99.182312562326899</v>
      </c>
      <c r="F599" s="1">
        <f t="shared" si="36"/>
        <v>99.182401522055514</v>
      </c>
      <c r="G599" s="1">
        <f t="shared" si="37"/>
        <v>1.0272318997821729E-4</v>
      </c>
      <c r="H599" s="1">
        <f t="shared" si="38"/>
        <v>99.18209335248558</v>
      </c>
      <c r="I599" s="1">
        <f t="shared" si="39"/>
        <v>99.182709691625448</v>
      </c>
    </row>
    <row r="600" spans="1:9" x14ac:dyDescent="0.5">
      <c r="A600" t="s">
        <v>598</v>
      </c>
      <c r="B600" s="1">
        <v>250.26949999999999</v>
      </c>
      <c r="C600" s="1">
        <v>250.26949999999999</v>
      </c>
      <c r="D600" s="1">
        <v>250.26949999999999</v>
      </c>
      <c r="E600" s="1">
        <v>250.26949999999999</v>
      </c>
      <c r="F600" s="1">
        <f t="shared" si="36"/>
        <v>250.26949999999999</v>
      </c>
      <c r="G600" s="1">
        <f t="shared" si="37"/>
        <v>0</v>
      </c>
      <c r="H600" s="1">
        <f t="shared" si="38"/>
        <v>250.26949999999999</v>
      </c>
      <c r="I600" s="1">
        <f t="shared" si="39"/>
        <v>250.26949999999999</v>
      </c>
    </row>
    <row r="601" spans="1:9" x14ac:dyDescent="0.5">
      <c r="A601" t="s">
        <v>599</v>
      </c>
      <c r="B601" s="1">
        <v>96.88963339</v>
      </c>
      <c r="C601" s="1">
        <v>96.889633391412005</v>
      </c>
      <c r="D601" s="1">
        <v>96.889633391412005</v>
      </c>
      <c r="E601" s="1">
        <v>96.889633391412005</v>
      </c>
      <c r="F601" s="1">
        <f t="shared" si="36"/>
        <v>96.889633391059007</v>
      </c>
      <c r="G601" s="1">
        <f t="shared" si="37"/>
        <v>7.0600236769051168E-10</v>
      </c>
      <c r="H601" s="1">
        <f t="shared" si="38"/>
        <v>96.889633388941007</v>
      </c>
      <c r="I601" s="1">
        <f t="shared" si="39"/>
        <v>96.889633393177007</v>
      </c>
    </row>
    <row r="602" spans="1:9" x14ac:dyDescent="0.5">
      <c r="A602" t="s">
        <v>600</v>
      </c>
      <c r="B602" s="1">
        <v>197.15629999999999</v>
      </c>
      <c r="C602" s="1">
        <v>197.15629999999999</v>
      </c>
      <c r="D602" s="1">
        <v>197.15629999999999</v>
      </c>
      <c r="E602" s="1">
        <v>197.15629999999999</v>
      </c>
      <c r="F602" s="1">
        <f t="shared" si="36"/>
        <v>197.15629999999999</v>
      </c>
      <c r="G602" s="1">
        <f t="shared" si="37"/>
        <v>0</v>
      </c>
      <c r="H602" s="1">
        <f t="shared" si="38"/>
        <v>197.15629999999999</v>
      </c>
      <c r="I602" s="1">
        <f t="shared" si="39"/>
        <v>197.15629999999999</v>
      </c>
    </row>
    <row r="603" spans="1:9" x14ac:dyDescent="0.5">
      <c r="A603" t="s">
        <v>601</v>
      </c>
      <c r="B603" s="1">
        <v>105.15226800000001</v>
      </c>
      <c r="C603" s="1">
        <v>105.152268015958</v>
      </c>
      <c r="D603" s="1">
        <v>105.152268015958</v>
      </c>
      <c r="E603" s="1">
        <v>105.152268015958</v>
      </c>
      <c r="F603" s="1">
        <f t="shared" si="36"/>
        <v>105.1522680119685</v>
      </c>
      <c r="G603" s="1">
        <f t="shared" si="37"/>
        <v>7.9789970186538994E-9</v>
      </c>
      <c r="H603" s="1">
        <f t="shared" si="38"/>
        <v>105.15226798803151</v>
      </c>
      <c r="I603" s="1">
        <f t="shared" si="39"/>
        <v>105.15226803590549</v>
      </c>
    </row>
    <row r="604" spans="1:9" x14ac:dyDescent="0.5">
      <c r="A604" t="s">
        <v>602</v>
      </c>
      <c r="B604" s="1">
        <v>7.8803000000000001</v>
      </c>
      <c r="C604" s="1">
        <v>7.8803000000000001</v>
      </c>
      <c r="D604" s="1">
        <v>7.8803000000000001</v>
      </c>
      <c r="E604" s="1">
        <v>7.8803000000000001</v>
      </c>
      <c r="F604" s="1">
        <f t="shared" si="36"/>
        <v>7.8803000000000001</v>
      </c>
      <c r="G604" s="1">
        <f t="shared" si="37"/>
        <v>0</v>
      </c>
      <c r="H604" s="1">
        <f t="shared" si="38"/>
        <v>7.8803000000000001</v>
      </c>
      <c r="I604" s="1">
        <f t="shared" si="39"/>
        <v>7.8803000000000001</v>
      </c>
    </row>
    <row r="605" spans="1:9" x14ac:dyDescent="0.5">
      <c r="A605" t="s">
        <v>603</v>
      </c>
      <c r="B605" s="1">
        <v>3.441814478</v>
      </c>
      <c r="C605" s="1">
        <v>3.4418144778590198</v>
      </c>
      <c r="D605" s="1">
        <v>3.4418144778590198</v>
      </c>
      <c r="E605" s="1">
        <v>3.4418144778590198</v>
      </c>
      <c r="F605" s="1">
        <f t="shared" si="36"/>
        <v>3.4418144778942645</v>
      </c>
      <c r="G605" s="1">
        <f t="shared" si="37"/>
        <v>7.0490058235944676E-11</v>
      </c>
      <c r="H605" s="1">
        <f t="shared" si="38"/>
        <v>3.4418144776827946</v>
      </c>
      <c r="I605" s="1">
        <f t="shared" si="39"/>
        <v>3.4418144781057345</v>
      </c>
    </row>
    <row r="606" spans="1:9" x14ac:dyDescent="0.5">
      <c r="A606" t="s">
        <v>604</v>
      </c>
      <c r="B606" s="1">
        <v>-567.42269999999996</v>
      </c>
      <c r="C606" s="1">
        <v>-567.42269999999996</v>
      </c>
      <c r="D606" s="1">
        <v>-567.42269999999996</v>
      </c>
      <c r="E606" s="1">
        <v>-567.42269999999996</v>
      </c>
      <c r="F606" s="1">
        <f t="shared" si="36"/>
        <v>-567.42269999999996</v>
      </c>
      <c r="G606" s="1">
        <f t="shared" si="37"/>
        <v>0</v>
      </c>
      <c r="H606" s="1">
        <f t="shared" si="38"/>
        <v>-567.42269999999996</v>
      </c>
      <c r="I606" s="1">
        <f t="shared" si="39"/>
        <v>-567.42269999999996</v>
      </c>
    </row>
    <row r="607" spans="1:9" x14ac:dyDescent="0.5">
      <c r="A607" t="s">
        <v>605</v>
      </c>
      <c r="B607" s="1">
        <v>288.66123479999999</v>
      </c>
      <c r="C607" s="1">
        <v>288.66123484768201</v>
      </c>
      <c r="D607" s="1">
        <v>288.66123484768201</v>
      </c>
      <c r="E607" s="1">
        <v>288.66123484768201</v>
      </c>
      <c r="F607" s="1">
        <f t="shared" si="36"/>
        <v>288.66123483576149</v>
      </c>
      <c r="G607" s="1">
        <f t="shared" si="37"/>
        <v>2.3841010943220872E-8</v>
      </c>
      <c r="H607" s="1">
        <f t="shared" si="38"/>
        <v>288.66123476423843</v>
      </c>
      <c r="I607" s="1">
        <f t="shared" si="39"/>
        <v>288.66123490728455</v>
      </c>
    </row>
    <row r="608" spans="1:9" x14ac:dyDescent="0.5">
      <c r="A608" t="s">
        <v>606</v>
      </c>
      <c r="B608" s="1">
        <v>0.40860000000000002</v>
      </c>
      <c r="C608" s="1">
        <v>0.40860000000000002</v>
      </c>
      <c r="D608" s="1">
        <v>0.40860000000000002</v>
      </c>
      <c r="E608" s="1">
        <v>0.40860000000000002</v>
      </c>
      <c r="F608" s="1">
        <f t="shared" si="36"/>
        <v>0.40860000000000002</v>
      </c>
      <c r="G608" s="1">
        <f t="shared" si="37"/>
        <v>0</v>
      </c>
      <c r="H608" s="1">
        <f t="shared" si="38"/>
        <v>0.40860000000000002</v>
      </c>
      <c r="I608" s="1">
        <f t="shared" si="39"/>
        <v>0.40860000000000002</v>
      </c>
    </row>
    <row r="609" spans="1:9" x14ac:dyDescent="0.5">
      <c r="A609" t="s">
        <v>607</v>
      </c>
      <c r="B609" s="1">
        <v>8.6424275999999994E-2</v>
      </c>
      <c r="C609" s="1">
        <v>8.6424276424830707E-2</v>
      </c>
      <c r="D609" s="1">
        <v>8.6424276424830707E-2</v>
      </c>
      <c r="E609" s="1">
        <v>8.6424276424830707E-2</v>
      </c>
      <c r="F609" s="1">
        <f t="shared" si="36"/>
        <v>8.6424276318623025E-2</v>
      </c>
      <c r="G609" s="1">
        <f t="shared" si="37"/>
        <v>2.1241535613780732E-10</v>
      </c>
      <c r="H609" s="1">
        <f t="shared" si="38"/>
        <v>8.642427568137695E-2</v>
      </c>
      <c r="I609" s="1">
        <f t="shared" si="39"/>
        <v>8.64242769558691E-2</v>
      </c>
    </row>
    <row r="610" spans="1:9" x14ac:dyDescent="0.5">
      <c r="A610" t="s">
        <v>608</v>
      </c>
      <c r="B610" s="1">
        <v>44.421604360000003</v>
      </c>
      <c r="C610" s="1">
        <v>44.421604358315101</v>
      </c>
      <c r="D610" s="1">
        <v>44.421604358315101</v>
      </c>
      <c r="E610" s="1">
        <v>44.421604358315101</v>
      </c>
      <c r="F610" s="1">
        <f t="shared" si="36"/>
        <v>44.421604358736332</v>
      </c>
      <c r="G610" s="1">
        <f t="shared" si="37"/>
        <v>8.4245144196275724E-10</v>
      </c>
      <c r="H610" s="1">
        <f t="shared" si="38"/>
        <v>44.421604356208974</v>
      </c>
      <c r="I610" s="1">
        <f t="shared" si="39"/>
        <v>44.421604361263689</v>
      </c>
    </row>
    <row r="611" spans="1:9" x14ac:dyDescent="0.5">
      <c r="A611" t="s">
        <v>609</v>
      </c>
      <c r="B611" s="1">
        <v>0.62556104700000004</v>
      </c>
      <c r="C611" s="1">
        <v>0.62556104741817697</v>
      </c>
      <c r="D611" s="1">
        <v>0.62556104741817697</v>
      </c>
      <c r="E611" s="1">
        <v>0.62556104741817697</v>
      </c>
      <c r="F611" s="1">
        <f t="shared" si="36"/>
        <v>0.62556104731363271</v>
      </c>
      <c r="G611" s="1">
        <f t="shared" si="37"/>
        <v>2.0908846876111188E-10</v>
      </c>
      <c r="H611" s="1">
        <f t="shared" si="38"/>
        <v>0.62556104668636725</v>
      </c>
      <c r="I611" s="1">
        <f t="shared" si="39"/>
        <v>0.62556104794089817</v>
      </c>
    </row>
    <row r="612" spans="1:9" x14ac:dyDescent="0.5">
      <c r="A612" t="s">
        <v>610</v>
      </c>
      <c r="B612" s="1">
        <v>43.065120059999998</v>
      </c>
      <c r="C612" s="1">
        <v>43.065120056715898</v>
      </c>
      <c r="D612" s="1">
        <v>43.065120056715898</v>
      </c>
      <c r="E612" s="1">
        <v>43.065120056715898</v>
      </c>
      <c r="F612" s="1">
        <f t="shared" si="36"/>
        <v>43.065120057536923</v>
      </c>
      <c r="G612" s="1">
        <f t="shared" si="37"/>
        <v>1.6420500514868763E-9</v>
      </c>
      <c r="H612" s="1">
        <f t="shared" si="38"/>
        <v>43.065120052610773</v>
      </c>
      <c r="I612" s="1">
        <f t="shared" si="39"/>
        <v>43.065120062463073</v>
      </c>
    </row>
    <row r="613" spans="1:9" x14ac:dyDescent="0.5">
      <c r="A613" t="s">
        <v>611</v>
      </c>
      <c r="B613" s="1">
        <v>16.672282060000001</v>
      </c>
      <c r="C613" s="1">
        <v>16.672282056952</v>
      </c>
      <c r="D613" s="1">
        <v>16.672282056952</v>
      </c>
      <c r="E613" s="1">
        <v>16.672282056952</v>
      </c>
      <c r="F613" s="1">
        <f t="shared" si="36"/>
        <v>16.672282057714</v>
      </c>
      <c r="G613" s="1">
        <f t="shared" si="37"/>
        <v>1.5240004813676933E-9</v>
      </c>
      <c r="H613" s="1">
        <f t="shared" si="38"/>
        <v>16.672282053141998</v>
      </c>
      <c r="I613" s="1">
        <f t="shared" si="39"/>
        <v>16.672282062286001</v>
      </c>
    </row>
  </sheetData>
  <phoneticPr fontId="18" type="noConversion"/>
  <pageMargins left="0.7" right="0.7" top="0.75" bottom="0.75" header="0.3" footer="0.3"/>
  <ignoredErrors>
    <ignoredError sqref="H1:I581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5879-D192-4326-AD32-8C83C2A6160E}">
  <dimension ref="A1:E5"/>
  <sheetViews>
    <sheetView workbookViewId="0">
      <selection activeCell="C5" sqref="C5"/>
    </sheetView>
  </sheetViews>
  <sheetFormatPr defaultRowHeight="14.35" x14ac:dyDescent="0.5"/>
  <cols>
    <col min="1" max="1" width="17.234375" customWidth="1"/>
    <col min="2" max="2" width="30.17578125" bestFit="1" customWidth="1"/>
    <col min="3" max="3" width="39.64453125" bestFit="1" customWidth="1"/>
    <col min="4" max="4" width="17.234375" customWidth="1"/>
    <col min="5" max="5" width="20.9375" bestFit="1" customWidth="1"/>
  </cols>
  <sheetData>
    <row r="1" spans="1:5" x14ac:dyDescent="0.5">
      <c r="A1" t="s">
        <v>615</v>
      </c>
      <c r="B1" t="s">
        <v>618</v>
      </c>
      <c r="C1" t="s">
        <v>616</v>
      </c>
      <c r="D1" t="s">
        <v>617</v>
      </c>
      <c r="E1" t="s">
        <v>625</v>
      </c>
    </row>
    <row r="2" spans="1:5" x14ac:dyDescent="0.5">
      <c r="A2" t="s">
        <v>619</v>
      </c>
      <c r="B2" t="s">
        <v>622</v>
      </c>
      <c r="C2" t="s">
        <v>626</v>
      </c>
      <c r="D2" t="s">
        <v>627</v>
      </c>
      <c r="E2" t="s">
        <v>628</v>
      </c>
    </row>
    <row r="3" spans="1:5" x14ac:dyDescent="0.5">
      <c r="A3" t="s">
        <v>620</v>
      </c>
      <c r="B3" t="s">
        <v>623</v>
      </c>
      <c r="C3" t="s">
        <v>629</v>
      </c>
      <c r="D3" t="s">
        <v>630</v>
      </c>
      <c r="E3" t="s">
        <v>631</v>
      </c>
    </row>
    <row r="4" spans="1:5" x14ac:dyDescent="0.5">
      <c r="A4" t="s">
        <v>621</v>
      </c>
      <c r="B4" t="s">
        <v>624</v>
      </c>
      <c r="C4" t="s">
        <v>632</v>
      </c>
      <c r="D4" t="s">
        <v>633</v>
      </c>
      <c r="E4" t="s">
        <v>634</v>
      </c>
    </row>
    <row r="5" spans="1:5" x14ac:dyDescent="0.5">
      <c r="A5" t="s">
        <v>642</v>
      </c>
      <c r="B5" t="s">
        <v>643</v>
      </c>
      <c r="C5" t="s">
        <v>626</v>
      </c>
      <c r="D5" t="s">
        <v>627</v>
      </c>
      <c r="E5" t="s">
        <v>628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DAB1-FA8D-4F91-9D01-DBCBDDF2DA1F}">
  <dimension ref="A1:A2"/>
  <sheetViews>
    <sheetView workbookViewId="0">
      <selection activeCell="A2" sqref="A2"/>
    </sheetView>
  </sheetViews>
  <sheetFormatPr defaultRowHeight="14.35" x14ac:dyDescent="0.5"/>
  <sheetData>
    <row r="1" spans="1:1" x14ac:dyDescent="0.5">
      <c r="A1" t="s">
        <v>640</v>
      </c>
    </row>
    <row r="2" spans="1:1" x14ac:dyDescent="0.5">
      <c r="A2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testing_benchmark</vt:lpstr>
      <vt:lpstr>benchmark spec</vt:lpstr>
      <vt:lpstr>note, acceptable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Samhan Samhan</cp:lastModifiedBy>
  <dcterms:created xsi:type="dcterms:W3CDTF">2025-08-20T22:28:18Z</dcterms:created>
  <dcterms:modified xsi:type="dcterms:W3CDTF">2026-02-04T22:10:34Z</dcterms:modified>
</cp:coreProperties>
</file>